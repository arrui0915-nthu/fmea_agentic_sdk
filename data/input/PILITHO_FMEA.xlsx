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lex_project\rag_test\data\"/>
    </mc:Choice>
  </mc:AlternateContent>
  <xr:revisionPtr revIDLastSave="0" documentId="13_ncr:1_{1D26E24C-2A55-4608-BFB6-9A91B26CD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_Litho_良全" sheetId="11" r:id="rId1"/>
  </sheets>
  <definedNames>
    <definedName name="_xlnm.Print_Area" localSheetId="0">PI_Litho_良全!$D$2:$N$17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7" i="11" l="1"/>
  <c r="M16" i="11"/>
  <c r="M15" i="11"/>
  <c r="Y14" i="11"/>
  <c r="M14" i="11"/>
  <c r="M13" i="11"/>
  <c r="M12" i="11"/>
  <c r="M11" i="11"/>
  <c r="M10" i="11"/>
  <c r="M9" i="11"/>
  <c r="M8" i="11"/>
  <c r="M7" i="11"/>
  <c r="M6" i="11"/>
  <c r="M5" i="11"/>
  <c r="M4" i="11"/>
  <c r="M3" i="11"/>
</calcChain>
</file>

<file path=xl/sharedStrings.xml><?xml version="1.0" encoding="utf-8"?>
<sst xmlns="http://schemas.openxmlformats.org/spreadsheetml/2006/main" count="112" uniqueCount="98">
  <si>
    <t>設計製程項目
(Process Design)</t>
    <phoneticPr fontId="1" type="noConversion"/>
  </si>
  <si>
    <t>功能要求
(Functional Requirement)</t>
    <phoneticPr fontId="1" type="noConversion"/>
  </si>
  <si>
    <t>潛在失效模式
(Potential Failure Model)</t>
    <phoneticPr fontId="1" type="noConversion"/>
  </si>
  <si>
    <t>失效可能後果
(Failure Causes Potential Serious results)</t>
    <phoneticPr fontId="1" type="noConversion"/>
  </si>
  <si>
    <t>嚴重度(S)</t>
    <phoneticPr fontId="1" type="noConversion"/>
  </si>
  <si>
    <t>失效可能原因
(Potential reasons)</t>
    <phoneticPr fontId="1" type="noConversion"/>
  </si>
  <si>
    <t>發生度(O)</t>
    <phoneticPr fontId="1" type="noConversion"/>
  </si>
  <si>
    <t>現有控制方法
(Current Process Inspection)</t>
    <phoneticPr fontId="1" type="noConversion"/>
  </si>
  <si>
    <t>偵測度(D)</t>
    <phoneticPr fontId="1" type="noConversion"/>
  </si>
  <si>
    <t>風險等級(RPN)</t>
    <phoneticPr fontId="1" type="noConversion"/>
  </si>
  <si>
    <t>建議措施(Recommended Actions)</t>
    <phoneticPr fontId="1" type="noConversion"/>
  </si>
  <si>
    <t>負責人/日期</t>
    <phoneticPr fontId="1" type="noConversion"/>
  </si>
  <si>
    <t>.</t>
    <phoneticPr fontId="1" type="noConversion"/>
  </si>
  <si>
    <t>機台環境Particle監測</t>
    <phoneticPr fontId="1" type="noConversion"/>
  </si>
  <si>
    <t>Particle high</t>
    <phoneticPr fontId="1" type="noConversion"/>
  </si>
  <si>
    <t>Yield loss</t>
    <phoneticPr fontId="1" type="noConversion"/>
  </si>
  <si>
    <t>RDL PR litho process PFMEA</t>
    <phoneticPr fontId="1" type="noConversion"/>
  </si>
  <si>
    <t>晶片表面無刮痕、顆粒、凹凸過大(&lt;1.66um)、warp(&lt;300um?)</t>
    <phoneticPr fontId="1" type="noConversion"/>
  </si>
  <si>
    <t>濺影產生造成光阻塗佈不均</t>
    <phoneticPr fontId="1" type="noConversion"/>
  </si>
  <si>
    <t xml:space="preserve">
進貨無抽樣到</t>
    <phoneticPr fontId="1" type="noConversion"/>
  </si>
  <si>
    <t>camtek、NANO、CS-10、OM、Fogal</t>
    <phoneticPr fontId="1" type="noConversion"/>
  </si>
  <si>
    <t>進貨檢驗片數全檢確認
1.請QC提供目前批次Shuttle Particle level
2.請QC提供目前批次Warp level</t>
    <phoneticPr fontId="1" type="noConversion"/>
  </si>
  <si>
    <t>wafer notch 辨識</t>
    <phoneticPr fontId="1" type="noConversion"/>
  </si>
  <si>
    <t>notch 誤認</t>
    <phoneticPr fontId="1" type="noConversion"/>
  </si>
  <si>
    <t>機台無法辨識進行取放片</t>
    <phoneticPr fontId="1" type="noConversion"/>
  </si>
  <si>
    <t>玻璃wafer邊緣不正常透光</t>
    <phoneticPr fontId="1" type="noConversion"/>
  </si>
  <si>
    <t>目視檢
機台alarm</t>
    <phoneticPr fontId="1" type="noConversion"/>
  </si>
  <si>
    <t>前程邊緣蝕刻需要乾淨</t>
    <phoneticPr fontId="1" type="noConversion"/>
  </si>
  <si>
    <t>Wafer背面無汙染
基板吸取真空度</t>
    <phoneticPr fontId="1" type="noConversion"/>
  </si>
  <si>
    <t>機台警示(真空度過低)</t>
    <phoneticPr fontId="1" type="noConversion"/>
  </si>
  <si>
    <t>部分位置失焦，無法進行曝光</t>
    <phoneticPr fontId="1" type="noConversion"/>
  </si>
  <si>
    <t>目視檢</t>
    <phoneticPr fontId="1" type="noConversion"/>
  </si>
  <si>
    <t>1.進貨檢驗片數全檢擦拭
2.清chuck</t>
    <phoneticPr fontId="1" type="noConversion"/>
  </si>
  <si>
    <t>廠務系統變異</t>
    <phoneticPr fontId="1" type="noConversion"/>
  </si>
  <si>
    <t>CS-10</t>
    <phoneticPr fontId="1" type="noConversion"/>
  </si>
  <si>
    <t>環境擺測試控片，前後值分析</t>
    <phoneticPr fontId="1" type="noConversion"/>
  </si>
  <si>
    <t>CD變異</t>
    <phoneticPr fontId="1" type="noConversion"/>
  </si>
  <si>
    <t>機台中心點設定跑掉</t>
    <phoneticPr fontId="1" type="noConversion"/>
  </si>
  <si>
    <t>目視
光學顯微鏡</t>
    <phoneticPr fontId="1" type="noConversion"/>
  </si>
  <si>
    <t>重新校正WAFER中心點以符合規範</t>
    <phoneticPr fontId="1" type="noConversion"/>
  </si>
  <si>
    <t>光罩進料檢查(無 particle汙染)</t>
    <phoneticPr fontId="1" type="noConversion"/>
  </si>
  <si>
    <t>Repeat defect</t>
    <phoneticPr fontId="1" type="noConversion"/>
  </si>
  <si>
    <t>particle 會遮光造成曝光局部失效</t>
    <phoneticPr fontId="1" type="noConversion"/>
  </si>
  <si>
    <t>包裝或製作過程汙染</t>
    <phoneticPr fontId="1" type="noConversion"/>
  </si>
  <si>
    <t>強光燈檢測
OM抽測</t>
    <phoneticPr fontId="1" type="noConversion"/>
  </si>
  <si>
    <t>1.異常退回給光罩廠處理
2.測試片驗證</t>
    <phoneticPr fontId="1" type="noConversion"/>
  </si>
  <si>
    <t>符合產品OL需求±1um的需求
SPEC.標準wafer為±0.5um</t>
    <phoneticPr fontId="1" type="noConversion"/>
  </si>
  <si>
    <t>Overlay 超出設計範圍</t>
    <phoneticPr fontId="1" type="noConversion"/>
  </si>
  <si>
    <t>線路斷路或短路</t>
    <phoneticPr fontId="1" type="noConversion"/>
  </si>
  <si>
    <t>對位key模糊機台無法辨識,或wafer warp</t>
    <phoneticPr fontId="1" type="noConversion"/>
  </si>
  <si>
    <t>1.Camtek
2.光學顯微鏡</t>
    <phoneticPr fontId="1" type="noConversion"/>
  </si>
  <si>
    <t>1.OL量測
2.Alignment Mark(SPEC.±1um)及WARP控制在允許範圍內</t>
    <phoneticPr fontId="1" type="noConversion"/>
  </si>
  <si>
    <t>-</t>
    <phoneticPr fontId="1" type="noConversion"/>
  </si>
  <si>
    <t>chuck X、Y軸移動精度
SPEC.=±1um</t>
    <phoneticPr fontId="1" type="noConversion"/>
  </si>
  <si>
    <t>Overlay over SPC.</t>
    <phoneticPr fontId="1" type="noConversion"/>
  </si>
  <si>
    <t>對位異常,CD變異</t>
    <phoneticPr fontId="1" type="noConversion"/>
  </si>
  <si>
    <t>機台stage異常</t>
    <phoneticPr fontId="1" type="noConversion"/>
  </si>
  <si>
    <t>光學顯微鏡</t>
    <phoneticPr fontId="1" type="noConversion"/>
  </si>
  <si>
    <t>設備校正及調整</t>
    <phoneticPr fontId="1" type="noConversion"/>
  </si>
  <si>
    <t>chuck Z軸移動精度
SPEC.=±1um</t>
    <phoneticPr fontId="1" type="noConversion"/>
  </si>
  <si>
    <t>Focus 異常</t>
    <phoneticPr fontId="1" type="noConversion"/>
  </si>
  <si>
    <t>曝光整面均勻度為3%</t>
    <phoneticPr fontId="1" type="noConversion"/>
  </si>
  <si>
    <t>過高或過低造成profile異常</t>
    <phoneticPr fontId="1" type="noConversion"/>
  </si>
  <si>
    <t>線路形狀不佳，CD變異</t>
    <phoneticPr fontId="1" type="noConversion"/>
  </si>
  <si>
    <t>曝光sensor異常,laser decay</t>
    <phoneticPr fontId="1" type="noConversion"/>
  </si>
  <si>
    <t>1.光學顯微鏡OM
2.Camtek</t>
    <phoneticPr fontId="1" type="noConversion"/>
  </si>
  <si>
    <t>1.設備校正及調整機台曝光均勻度
2.更換laser 源</t>
    <phoneticPr fontId="1" type="noConversion"/>
  </si>
  <si>
    <t>1.產品Pattern驗證</t>
    <phoneticPr fontId="1" type="noConversion"/>
  </si>
  <si>
    <t>曝光Pattern無異常</t>
    <phoneticPr fontId="1" type="noConversion"/>
  </si>
  <si>
    <t>圖形異常</t>
    <phoneticPr fontId="1" type="noConversion"/>
  </si>
  <si>
    <t>產品功能失效</t>
    <phoneticPr fontId="1" type="noConversion"/>
  </si>
  <si>
    <t>曝光圖形/光罩異常</t>
    <phoneticPr fontId="1" type="noConversion"/>
  </si>
  <si>
    <t>OM、camtek</t>
    <phoneticPr fontId="1" type="noConversion"/>
  </si>
  <si>
    <t>1.廠商出圖DRC確認
2.請QC帶貨時，產品驗證前導批驗證，前導測方式(可Rework光阻)</t>
    <phoneticPr fontId="1" type="noConversion"/>
  </si>
  <si>
    <t>Criticle pattern define</t>
    <phoneticPr fontId="1" type="noConversion"/>
  </si>
  <si>
    <t>1.Camtek全檢、Criticle pattern check OM抽檢</t>
    <phoneticPr fontId="1" type="noConversion"/>
  </si>
  <si>
    <t>EBR(??um)、切割道(120um)定義</t>
    <phoneticPr fontId="1" type="noConversion"/>
  </si>
  <si>
    <t>Warp Control</t>
    <phoneticPr fontId="1" type="noConversion"/>
  </si>
  <si>
    <t>Warp過大，無法曝光</t>
    <phoneticPr fontId="1" type="noConversion"/>
  </si>
  <si>
    <t>OM</t>
    <phoneticPr fontId="1" type="noConversion"/>
  </si>
  <si>
    <t>1.請QC出圖前定義確認
2.OM Chcek</t>
    <phoneticPr fontId="1" type="noConversion"/>
  </si>
  <si>
    <t>2. 晶圓進料檢查</t>
    <phoneticPr fontId="1" type="noConversion"/>
  </si>
  <si>
    <t>PI殘留填孔失敗造成斷路</t>
    <phoneticPr fontId="1" type="noConversion"/>
  </si>
  <si>
    <t>3. 光阻對位曝光</t>
    <phoneticPr fontId="1" type="noConversion"/>
  </si>
  <si>
    <t>厚度曝光變異符合產品需求
SPEC.=5±0.5um</t>
    <phoneticPr fontId="1" type="noConversion"/>
  </si>
  <si>
    <t>電性異常</t>
    <phoneticPr fontId="1" type="noConversion"/>
  </si>
  <si>
    <t>Via hole形狀不佳</t>
    <phoneticPr fontId="1" type="noConversion"/>
  </si>
  <si>
    <t>曝光sensor異常</t>
    <phoneticPr fontId="1" type="noConversion"/>
  </si>
  <si>
    <t>1.設備校正及調整機台曝光均勻度</t>
    <phoneticPr fontId="1" type="noConversion"/>
  </si>
  <si>
    <t>符合曝邊的需求
1.8um± 0.5um</t>
    <phoneticPr fontId="1" type="noConversion"/>
  </si>
  <si>
    <t>影響邊緣Not/Good Die影響</t>
    <phoneticPr fontId="1" type="noConversion"/>
  </si>
  <si>
    <t>電鍍爬坡搭接問題</t>
    <phoneticPr fontId="1" type="noConversion"/>
  </si>
  <si>
    <t>產品Stiching確認
SPEC.=no residue 無彩紋…</t>
    <phoneticPr fontId="1" type="noConversion"/>
  </si>
  <si>
    <t>外觀異常</t>
    <phoneticPr fontId="1" type="noConversion"/>
  </si>
  <si>
    <t>產品影響未知</t>
    <phoneticPr fontId="1" type="noConversion"/>
  </si>
  <si>
    <t>曝光量異常</t>
    <phoneticPr fontId="1" type="noConversion"/>
  </si>
  <si>
    <t>1.目視
2.電性驗證
3.OM量測</t>
    <phoneticPr fontId="1" type="noConversion"/>
  </si>
  <si>
    <t>OM量測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</si>
</sst>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2"/>
      <color theme="1"/>
      <name val="Calibri"/>
      <family val="2"/>
    </font>
    <font>
      <sz val="16"/>
      <color theme="1"/>
      <name val="Calibri"/>
      <family val="2"/>
    </font>
    <font>
      <sz val="16"/>
      <color rgb="FF0000CC"/>
      <name val="Calibri"/>
      <family val="2"/>
    </font>
    <font>
      <sz val="12"/>
      <color rgb="FF0000CC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charset val="136"/>
    </font>
    <font>
      <b/>
      <sz val="16"/>
      <color theme="1"/>
      <name val="新細明體"/>
      <family val="1"/>
      <charset val="136"/>
      <scheme val="minor"/>
    </font>
    <font>
      <sz val="16"/>
      <color theme="1"/>
      <name val="Calibr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indent="2" readingOrder="1"/>
    </xf>
    <xf numFmtId="0" fontId="5" fillId="0" borderId="0" xfId="0" applyFont="1" applyAlignment="1">
      <alignment horizontal="left" vertical="center" indent="5" readingOrder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5" fillId="0" borderId="0" xfId="0" quotePrefix="1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>
      <alignment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CE02-C160-4CD4-8FA6-607ECE4156EA}">
  <sheetPr>
    <pageSetUpPr fitToPage="1"/>
  </sheetPr>
  <dimension ref="B1:Z36"/>
  <sheetViews>
    <sheetView tabSelected="1" topLeftCell="F13" zoomScale="70" zoomScaleNormal="70" workbookViewId="0">
      <selection activeCell="N13" sqref="N13"/>
    </sheetView>
  </sheetViews>
  <sheetFormatPr defaultColWidth="8.88671875" defaultRowHeight="15.6" x14ac:dyDescent="0.3"/>
  <cols>
    <col min="1" max="1" width="8.88671875" style="15"/>
    <col min="2" max="2" width="7.44140625" style="15" customWidth="1"/>
    <col min="3" max="3" width="7.6640625" style="15" customWidth="1"/>
    <col min="4" max="4" width="26.44140625" style="15" customWidth="1"/>
    <col min="5" max="5" width="44.33203125" style="15" customWidth="1"/>
    <col min="6" max="6" width="33.21875" style="29" customWidth="1"/>
    <col min="7" max="7" width="53.77734375" style="29" customWidth="1"/>
    <col min="8" max="8" width="11.77734375" style="29" customWidth="1"/>
    <col min="9" max="9" width="30.109375" style="29" customWidth="1"/>
    <col min="10" max="10" width="12.77734375" style="29" customWidth="1"/>
    <col min="11" max="11" width="39.6640625" style="29" customWidth="1"/>
    <col min="12" max="12" width="13" style="29" customWidth="1"/>
    <col min="13" max="13" width="14.44140625" style="29" customWidth="1"/>
    <col min="14" max="14" width="54.6640625" style="15" customWidth="1"/>
    <col min="15" max="15" width="11.33203125" style="15" customWidth="1"/>
    <col min="16" max="16" width="10.44140625" style="15" customWidth="1"/>
    <col min="17" max="17" width="10.88671875" style="15" customWidth="1"/>
    <col min="18" max="18" width="13.77734375" style="15" customWidth="1"/>
    <col min="19" max="19" width="17.77734375" style="15" customWidth="1"/>
    <col min="20" max="20" width="50.88671875" style="15" customWidth="1"/>
    <col min="21" max="21" width="8.88671875" style="15"/>
    <col min="22" max="23" width="11.44140625" style="15" bestFit="1" customWidth="1"/>
    <col min="24" max="24" width="11.44140625" style="15" customWidth="1"/>
    <col min="25" max="25" width="15.109375" style="15" customWidth="1"/>
    <col min="26" max="26" width="12.88671875" style="15" bestFit="1" customWidth="1"/>
    <col min="27" max="16384" width="8.88671875" style="15"/>
  </cols>
  <sheetData>
    <row r="1" spans="2:26" ht="101.4" customHeight="1" x14ac:dyDescent="0.3">
      <c r="D1" s="45" t="s">
        <v>16</v>
      </c>
      <c r="E1" s="46"/>
      <c r="F1" s="46"/>
      <c r="G1" s="39"/>
      <c r="H1" s="39"/>
      <c r="I1" s="39"/>
      <c r="J1" s="40"/>
      <c r="K1" s="40"/>
      <c r="L1" s="40"/>
      <c r="M1" s="39"/>
      <c r="N1" s="38"/>
      <c r="O1" s="38"/>
      <c r="P1" s="38"/>
      <c r="Q1" s="38"/>
      <c r="R1" s="38"/>
      <c r="S1" s="38"/>
    </row>
    <row r="2" spans="2:26" ht="48.75" customHeight="1" x14ac:dyDescent="0.3">
      <c r="B2" s="16"/>
      <c r="C2" s="16"/>
      <c r="D2" s="3" t="s">
        <v>0</v>
      </c>
      <c r="E2" s="3" t="s">
        <v>1</v>
      </c>
      <c r="F2" s="3" t="s">
        <v>2</v>
      </c>
      <c r="G2" s="3" t="s">
        <v>3</v>
      </c>
      <c r="H2" s="6" t="s">
        <v>4</v>
      </c>
      <c r="I2" s="3" t="s">
        <v>5</v>
      </c>
      <c r="J2" s="7" t="s">
        <v>6</v>
      </c>
      <c r="K2" s="3" t="s">
        <v>7</v>
      </c>
      <c r="L2" s="8" t="s">
        <v>8</v>
      </c>
      <c r="M2" s="9" t="s">
        <v>9</v>
      </c>
      <c r="N2" s="3" t="s">
        <v>10</v>
      </c>
      <c r="O2" s="3" t="s">
        <v>4</v>
      </c>
      <c r="P2" s="3" t="s">
        <v>6</v>
      </c>
      <c r="Q2" s="3" t="s">
        <v>8</v>
      </c>
      <c r="R2" s="3" t="s">
        <v>9</v>
      </c>
      <c r="S2" s="2" t="s">
        <v>11</v>
      </c>
    </row>
    <row r="3" spans="2:26" ht="64.8" x14ac:dyDescent="0.3">
      <c r="B3" s="16"/>
      <c r="C3" s="16"/>
      <c r="D3" s="47" t="s">
        <v>67</v>
      </c>
      <c r="E3" s="3" t="s">
        <v>68</v>
      </c>
      <c r="F3" s="3" t="s">
        <v>69</v>
      </c>
      <c r="G3" s="3" t="s">
        <v>70</v>
      </c>
      <c r="H3" s="6">
        <v>7</v>
      </c>
      <c r="I3" s="3" t="s">
        <v>71</v>
      </c>
      <c r="J3" s="7">
        <v>3</v>
      </c>
      <c r="K3" s="3" t="s">
        <v>72</v>
      </c>
      <c r="L3" s="8">
        <v>3</v>
      </c>
      <c r="M3" s="9">
        <f t="shared" ref="M3:M5" si="0">H3*J3*L3</f>
        <v>63</v>
      </c>
      <c r="N3" s="2" t="s">
        <v>73</v>
      </c>
      <c r="O3" s="3">
        <v>7</v>
      </c>
      <c r="P3" s="3">
        <v>3</v>
      </c>
      <c r="Q3" s="3">
        <v>3</v>
      </c>
      <c r="R3" s="3">
        <v>63</v>
      </c>
      <c r="S3" s="2"/>
    </row>
    <row r="4" spans="2:26" ht="43.2" x14ac:dyDescent="0.3">
      <c r="B4" s="16"/>
      <c r="C4" s="16"/>
      <c r="D4" s="48"/>
      <c r="E4" s="3" t="s">
        <v>74</v>
      </c>
      <c r="F4" s="3" t="s">
        <v>69</v>
      </c>
      <c r="G4" s="3" t="s">
        <v>70</v>
      </c>
      <c r="H4" s="6">
        <v>7</v>
      </c>
      <c r="I4" s="3" t="s">
        <v>71</v>
      </c>
      <c r="J4" s="7">
        <v>3</v>
      </c>
      <c r="K4" s="3" t="s">
        <v>72</v>
      </c>
      <c r="L4" s="8">
        <v>3</v>
      </c>
      <c r="M4" s="9">
        <f t="shared" si="0"/>
        <v>63</v>
      </c>
      <c r="N4" s="2" t="s">
        <v>75</v>
      </c>
      <c r="O4" s="3">
        <v>7</v>
      </c>
      <c r="P4" s="3">
        <v>3</v>
      </c>
      <c r="Q4" s="3">
        <v>3</v>
      </c>
      <c r="R4" s="3">
        <v>63</v>
      </c>
      <c r="S4" s="2"/>
    </row>
    <row r="5" spans="2:26" ht="43.2" x14ac:dyDescent="0.3">
      <c r="B5" s="16"/>
      <c r="C5" s="16"/>
      <c r="D5" s="48"/>
      <c r="E5" s="3" t="s">
        <v>76</v>
      </c>
      <c r="F5" s="33" t="s">
        <v>77</v>
      </c>
      <c r="G5" s="3" t="s">
        <v>78</v>
      </c>
      <c r="H5" s="34">
        <v>3</v>
      </c>
      <c r="I5" s="3" t="s">
        <v>71</v>
      </c>
      <c r="J5" s="7">
        <v>3</v>
      </c>
      <c r="K5" s="3" t="s">
        <v>79</v>
      </c>
      <c r="L5" s="8">
        <v>3</v>
      </c>
      <c r="M5" s="9">
        <f t="shared" si="0"/>
        <v>27</v>
      </c>
      <c r="N5" s="2" t="s">
        <v>80</v>
      </c>
      <c r="O5" s="3">
        <v>3</v>
      </c>
      <c r="P5" s="3">
        <v>3</v>
      </c>
      <c r="Q5" s="3">
        <v>3</v>
      </c>
      <c r="R5" s="3">
        <v>27</v>
      </c>
      <c r="S5" s="2"/>
    </row>
    <row r="6" spans="2:26" ht="43.2" x14ac:dyDescent="0.3">
      <c r="B6" s="16"/>
      <c r="C6" s="16"/>
      <c r="D6" s="49"/>
      <c r="E6" s="32" t="s">
        <v>40</v>
      </c>
      <c r="F6" s="33" t="s">
        <v>41</v>
      </c>
      <c r="G6" s="3" t="s">
        <v>42</v>
      </c>
      <c r="H6" s="34">
        <v>3</v>
      </c>
      <c r="I6" s="33" t="s">
        <v>43</v>
      </c>
      <c r="J6" s="35">
        <v>1</v>
      </c>
      <c r="K6" s="33" t="s">
        <v>44</v>
      </c>
      <c r="L6" s="36">
        <v>1</v>
      </c>
      <c r="M6" s="37">
        <f>H6*J6*L6</f>
        <v>3</v>
      </c>
      <c r="N6" s="14" t="s">
        <v>45</v>
      </c>
      <c r="O6" s="3">
        <v>3</v>
      </c>
      <c r="P6" s="3">
        <v>1</v>
      </c>
      <c r="Q6" s="3">
        <v>1</v>
      </c>
      <c r="R6" s="3">
        <v>3</v>
      </c>
      <c r="S6" s="2"/>
    </row>
    <row r="7" spans="2:26" ht="86.4" x14ac:dyDescent="0.3">
      <c r="B7" s="16"/>
      <c r="C7" s="16"/>
      <c r="D7" s="47" t="s">
        <v>81</v>
      </c>
      <c r="E7" s="3" t="s">
        <v>17</v>
      </c>
      <c r="F7" s="3" t="s">
        <v>18</v>
      </c>
      <c r="G7" s="3" t="s">
        <v>82</v>
      </c>
      <c r="H7" s="6">
        <v>7</v>
      </c>
      <c r="I7" s="3" t="s">
        <v>19</v>
      </c>
      <c r="J7" s="7">
        <v>7</v>
      </c>
      <c r="K7" s="3" t="s">
        <v>20</v>
      </c>
      <c r="L7" s="8">
        <v>3</v>
      </c>
      <c r="M7" s="9">
        <f t="shared" ref="M7:M17" si="1">H7*J7*L7</f>
        <v>147</v>
      </c>
      <c r="N7" s="2" t="s">
        <v>21</v>
      </c>
      <c r="O7" s="3">
        <v>7</v>
      </c>
      <c r="P7" s="3">
        <v>7</v>
      </c>
      <c r="Q7" s="3">
        <v>3</v>
      </c>
      <c r="R7" s="3">
        <v>147</v>
      </c>
      <c r="S7" s="3"/>
      <c r="T7" s="17"/>
      <c r="V7" s="1"/>
    </row>
    <row r="8" spans="2:26" ht="43.2" x14ac:dyDescent="0.3">
      <c r="B8" s="16"/>
      <c r="C8" s="16"/>
      <c r="D8" s="48"/>
      <c r="E8" s="3" t="s">
        <v>22</v>
      </c>
      <c r="F8" s="3" t="s">
        <v>23</v>
      </c>
      <c r="G8" s="3" t="s">
        <v>24</v>
      </c>
      <c r="H8" s="6">
        <v>5</v>
      </c>
      <c r="I8" s="3" t="s">
        <v>25</v>
      </c>
      <c r="J8" s="7">
        <v>3</v>
      </c>
      <c r="K8" s="3" t="s">
        <v>26</v>
      </c>
      <c r="L8" s="8">
        <v>3</v>
      </c>
      <c r="M8" s="9">
        <f t="shared" si="1"/>
        <v>45</v>
      </c>
      <c r="N8" s="2" t="s">
        <v>27</v>
      </c>
      <c r="O8" s="3">
        <v>5</v>
      </c>
      <c r="P8" s="3">
        <v>3</v>
      </c>
      <c r="Q8" s="3">
        <v>3</v>
      </c>
      <c r="R8" s="3">
        <v>45</v>
      </c>
      <c r="S8" s="3"/>
      <c r="T8" s="15" t="s">
        <v>12</v>
      </c>
    </row>
    <row r="9" spans="2:26" s="19" customFormat="1" ht="43.2" x14ac:dyDescent="0.3">
      <c r="B9" s="18"/>
      <c r="C9" s="18"/>
      <c r="D9" s="48"/>
      <c r="E9" s="3" t="s">
        <v>28</v>
      </c>
      <c r="F9" s="3" t="s">
        <v>29</v>
      </c>
      <c r="G9" s="3" t="s">
        <v>30</v>
      </c>
      <c r="H9" s="6">
        <v>5</v>
      </c>
      <c r="I9" s="3" t="s">
        <v>19</v>
      </c>
      <c r="J9" s="7">
        <v>1</v>
      </c>
      <c r="K9" s="3" t="s">
        <v>31</v>
      </c>
      <c r="L9" s="8">
        <v>3</v>
      </c>
      <c r="M9" s="9">
        <f t="shared" si="1"/>
        <v>15</v>
      </c>
      <c r="N9" s="2" t="s">
        <v>32</v>
      </c>
      <c r="O9" s="3">
        <v>5</v>
      </c>
      <c r="P9" s="3">
        <v>1</v>
      </c>
      <c r="Q9" s="3">
        <v>3</v>
      </c>
      <c r="R9" s="3">
        <v>15</v>
      </c>
      <c r="S9" s="2"/>
      <c r="T9" s="15"/>
    </row>
    <row r="10" spans="2:26" s="19" customFormat="1" ht="21.6" x14ac:dyDescent="0.3">
      <c r="B10" s="18"/>
      <c r="C10" s="18"/>
      <c r="D10" s="49"/>
      <c r="E10" s="3" t="s">
        <v>13</v>
      </c>
      <c r="F10" s="3" t="s">
        <v>14</v>
      </c>
      <c r="G10" s="3" t="s">
        <v>15</v>
      </c>
      <c r="H10" s="6">
        <v>5</v>
      </c>
      <c r="I10" s="3" t="s">
        <v>33</v>
      </c>
      <c r="J10" s="7">
        <v>1</v>
      </c>
      <c r="K10" s="3" t="s">
        <v>34</v>
      </c>
      <c r="L10" s="8">
        <v>3</v>
      </c>
      <c r="M10" s="9">
        <f t="shared" si="1"/>
        <v>15</v>
      </c>
      <c r="N10" s="2" t="s">
        <v>35</v>
      </c>
      <c r="O10" s="3">
        <v>5</v>
      </c>
      <c r="P10" s="3">
        <v>1</v>
      </c>
      <c r="Q10" s="3">
        <v>3</v>
      </c>
      <c r="R10" s="3">
        <v>15</v>
      </c>
      <c r="S10" s="2"/>
      <c r="T10" s="15"/>
    </row>
    <row r="11" spans="2:26" ht="43.2" x14ac:dyDescent="0.3">
      <c r="B11" s="16"/>
      <c r="C11" s="16"/>
      <c r="D11" s="47" t="s">
        <v>83</v>
      </c>
      <c r="E11" s="32" t="s">
        <v>84</v>
      </c>
      <c r="F11" s="5" t="s">
        <v>85</v>
      </c>
      <c r="G11" s="5" t="s">
        <v>86</v>
      </c>
      <c r="H11" s="10">
        <v>7</v>
      </c>
      <c r="I11" s="5" t="s">
        <v>87</v>
      </c>
      <c r="J11" s="11">
        <v>5</v>
      </c>
      <c r="K11" s="5" t="s">
        <v>57</v>
      </c>
      <c r="L11" s="12">
        <v>3</v>
      </c>
      <c r="M11" s="13">
        <f t="shared" si="1"/>
        <v>105</v>
      </c>
      <c r="N11" s="4" t="s">
        <v>88</v>
      </c>
      <c r="O11" s="3">
        <v>7</v>
      </c>
      <c r="P11" s="3">
        <v>5</v>
      </c>
      <c r="Q11" s="3">
        <v>3</v>
      </c>
      <c r="R11" s="3">
        <v>105</v>
      </c>
      <c r="S11" s="2"/>
    </row>
    <row r="12" spans="2:26" ht="64.8" x14ac:dyDescent="0.3">
      <c r="B12" s="16"/>
      <c r="C12" s="16"/>
      <c r="D12" s="48"/>
      <c r="E12" s="3" t="s">
        <v>46</v>
      </c>
      <c r="F12" s="3" t="s">
        <v>47</v>
      </c>
      <c r="G12" s="3" t="s">
        <v>48</v>
      </c>
      <c r="H12" s="6">
        <v>7</v>
      </c>
      <c r="I12" s="3" t="s">
        <v>49</v>
      </c>
      <c r="J12" s="7">
        <v>1</v>
      </c>
      <c r="K12" s="3" t="s">
        <v>50</v>
      </c>
      <c r="L12" s="8">
        <v>3</v>
      </c>
      <c r="M12" s="9">
        <f t="shared" si="1"/>
        <v>21</v>
      </c>
      <c r="N12" s="2" t="s">
        <v>51</v>
      </c>
      <c r="O12" s="3">
        <v>7</v>
      </c>
      <c r="P12" s="3">
        <v>1</v>
      </c>
      <c r="Q12" s="3">
        <v>3</v>
      </c>
      <c r="R12" s="3">
        <v>21</v>
      </c>
      <c r="S12" s="3" t="s">
        <v>52</v>
      </c>
    </row>
    <row r="13" spans="2:26" ht="43.2" x14ac:dyDescent="0.3">
      <c r="B13" s="16"/>
      <c r="C13" s="16"/>
      <c r="D13" s="48"/>
      <c r="E13" s="32" t="s">
        <v>53</v>
      </c>
      <c r="F13" s="33" t="s">
        <v>54</v>
      </c>
      <c r="G13" s="3" t="s">
        <v>55</v>
      </c>
      <c r="H13" s="34">
        <v>7</v>
      </c>
      <c r="I13" s="33" t="s">
        <v>56</v>
      </c>
      <c r="J13" s="35">
        <v>1</v>
      </c>
      <c r="K13" s="33" t="s">
        <v>57</v>
      </c>
      <c r="L13" s="36">
        <v>1</v>
      </c>
      <c r="M13" s="37">
        <f t="shared" si="1"/>
        <v>7</v>
      </c>
      <c r="N13" s="2" t="s">
        <v>58</v>
      </c>
      <c r="O13" s="3">
        <v>7</v>
      </c>
      <c r="P13" s="3">
        <v>1</v>
      </c>
      <c r="Q13" s="3">
        <v>1</v>
      </c>
      <c r="R13" s="3">
        <v>7</v>
      </c>
      <c r="S13" s="3"/>
    </row>
    <row r="14" spans="2:26" ht="43.2" x14ac:dyDescent="0.3">
      <c r="D14" s="48"/>
      <c r="E14" s="3" t="s">
        <v>59</v>
      </c>
      <c r="F14" s="3" t="s">
        <v>60</v>
      </c>
      <c r="G14" s="3" t="s">
        <v>36</v>
      </c>
      <c r="H14" s="6">
        <v>7</v>
      </c>
      <c r="I14" s="33" t="s">
        <v>56</v>
      </c>
      <c r="J14" s="7">
        <v>1</v>
      </c>
      <c r="K14" s="3" t="s">
        <v>57</v>
      </c>
      <c r="L14" s="8">
        <v>1</v>
      </c>
      <c r="M14" s="9">
        <f t="shared" si="1"/>
        <v>7</v>
      </c>
      <c r="N14" s="2" t="s">
        <v>58</v>
      </c>
      <c r="O14" s="3">
        <v>7</v>
      </c>
      <c r="P14" s="3">
        <v>1</v>
      </c>
      <c r="Q14" s="3">
        <v>1</v>
      </c>
      <c r="R14" s="3">
        <v>7</v>
      </c>
      <c r="S14" s="2"/>
      <c r="V14" s="24">
        <v>7</v>
      </c>
      <c r="W14" s="25">
        <v>1</v>
      </c>
      <c r="X14" s="26">
        <v>5</v>
      </c>
      <c r="Y14" s="27">
        <f>V14*W14*X14</f>
        <v>35</v>
      </c>
      <c r="Z14" s="28"/>
    </row>
    <row r="15" spans="2:26" ht="43.2" x14ac:dyDescent="0.3">
      <c r="B15" s="16"/>
      <c r="C15" s="16"/>
      <c r="D15" s="48"/>
      <c r="E15" s="3" t="s">
        <v>61</v>
      </c>
      <c r="F15" s="3" t="s">
        <v>62</v>
      </c>
      <c r="G15" s="3" t="s">
        <v>63</v>
      </c>
      <c r="H15" s="6">
        <v>5</v>
      </c>
      <c r="I15" s="3" t="s">
        <v>64</v>
      </c>
      <c r="J15" s="7">
        <v>1</v>
      </c>
      <c r="K15" s="3" t="s">
        <v>65</v>
      </c>
      <c r="L15" s="8">
        <v>3</v>
      </c>
      <c r="M15" s="9">
        <f t="shared" si="1"/>
        <v>15</v>
      </c>
      <c r="N15" s="2" t="s">
        <v>66</v>
      </c>
      <c r="O15" s="3">
        <v>5</v>
      </c>
      <c r="P15" s="3">
        <v>1</v>
      </c>
      <c r="Q15" s="3">
        <v>3</v>
      </c>
      <c r="R15" s="3">
        <v>15</v>
      </c>
      <c r="S15" s="2"/>
    </row>
    <row r="16" spans="2:26" ht="43.2" x14ac:dyDescent="0.3">
      <c r="B16" s="16"/>
      <c r="C16" s="16"/>
      <c r="D16" s="48"/>
      <c r="E16" s="3" t="s">
        <v>89</v>
      </c>
      <c r="F16" s="3" t="s">
        <v>90</v>
      </c>
      <c r="G16" s="3" t="s">
        <v>91</v>
      </c>
      <c r="H16" s="6">
        <v>5</v>
      </c>
      <c r="I16" s="3" t="s">
        <v>37</v>
      </c>
      <c r="J16" s="7">
        <v>2</v>
      </c>
      <c r="K16" s="3" t="s">
        <v>38</v>
      </c>
      <c r="L16" s="8">
        <v>2</v>
      </c>
      <c r="M16" s="9">
        <f>H16*J16*L16</f>
        <v>20</v>
      </c>
      <c r="N16" s="2" t="s">
        <v>39</v>
      </c>
      <c r="O16" s="3">
        <v>5</v>
      </c>
      <c r="P16" s="3">
        <v>2</v>
      </c>
      <c r="Q16" s="3">
        <v>2</v>
      </c>
      <c r="R16" s="3">
        <v>20</v>
      </c>
      <c r="S16" s="2"/>
    </row>
    <row r="17" spans="4:19" ht="64.8" x14ac:dyDescent="0.3">
      <c r="D17" s="49"/>
      <c r="E17" s="3" t="s">
        <v>92</v>
      </c>
      <c r="F17" s="3" t="s">
        <v>93</v>
      </c>
      <c r="G17" s="3" t="s">
        <v>94</v>
      </c>
      <c r="H17" s="6">
        <v>5</v>
      </c>
      <c r="I17" s="3" t="s">
        <v>95</v>
      </c>
      <c r="J17" s="7">
        <v>1</v>
      </c>
      <c r="K17" s="3" t="s">
        <v>96</v>
      </c>
      <c r="L17" s="8">
        <v>3</v>
      </c>
      <c r="M17" s="9">
        <f t="shared" si="1"/>
        <v>15</v>
      </c>
      <c r="N17" s="2" t="s">
        <v>97</v>
      </c>
      <c r="O17" s="44">
        <v>5</v>
      </c>
      <c r="P17" s="44">
        <v>1</v>
      </c>
      <c r="Q17" s="44">
        <v>3</v>
      </c>
      <c r="R17" s="44">
        <v>15</v>
      </c>
      <c r="S17" s="41"/>
    </row>
    <row r="18" spans="4:19" ht="22.2" x14ac:dyDescent="0.3">
      <c r="D18" s="20"/>
      <c r="I18" s="30"/>
    </row>
    <row r="19" spans="4:19" ht="75" customHeight="1" x14ac:dyDescent="0.3">
      <c r="D19" s="21"/>
      <c r="F19" s="42"/>
      <c r="G19" s="43"/>
      <c r="H19" s="30"/>
      <c r="I19" s="43"/>
      <c r="K19" s="30"/>
    </row>
    <row r="20" spans="4:19" x14ac:dyDescent="0.3">
      <c r="E20" s="22"/>
      <c r="H20" s="30"/>
      <c r="J20" s="31"/>
      <c r="K20" s="30"/>
    </row>
    <row r="21" spans="4:19" x14ac:dyDescent="0.3">
      <c r="E21" s="23"/>
      <c r="H21" s="30"/>
      <c r="J21" s="31"/>
    </row>
    <row r="22" spans="4:19" x14ac:dyDescent="0.3">
      <c r="E22" s="23"/>
    </row>
    <row r="23" spans="4:19" x14ac:dyDescent="0.3">
      <c r="E23" s="22"/>
    </row>
    <row r="24" spans="4:19" x14ac:dyDescent="0.3">
      <c r="E24" s="23"/>
    </row>
    <row r="25" spans="4:19" x14ac:dyDescent="0.3">
      <c r="E25" s="23"/>
    </row>
    <row r="26" spans="4:19" x14ac:dyDescent="0.3">
      <c r="E26" s="23"/>
    </row>
    <row r="27" spans="4:19" x14ac:dyDescent="0.3">
      <c r="E27" s="22"/>
    </row>
    <row r="28" spans="4:19" x14ac:dyDescent="0.3">
      <c r="E28" s="23"/>
    </row>
    <row r="29" spans="4:19" x14ac:dyDescent="0.3">
      <c r="E29" s="23"/>
    </row>
    <row r="30" spans="4:19" x14ac:dyDescent="0.3">
      <c r="E30" s="22"/>
    </row>
    <row r="31" spans="4:19" x14ac:dyDescent="0.3">
      <c r="E31" s="23"/>
    </row>
    <row r="32" spans="4:19" x14ac:dyDescent="0.3">
      <c r="E32" s="23"/>
    </row>
    <row r="33" spans="5:5" x14ac:dyDescent="0.3">
      <c r="E33" s="22"/>
    </row>
    <row r="34" spans="5:5" x14ac:dyDescent="0.3">
      <c r="E34" s="23"/>
    </row>
    <row r="35" spans="5:5" x14ac:dyDescent="0.3">
      <c r="E35" s="23"/>
    </row>
    <row r="36" spans="5:5" x14ac:dyDescent="0.3">
      <c r="E36" s="23"/>
    </row>
  </sheetData>
  <mergeCells count="4">
    <mergeCell ref="D1:F1"/>
    <mergeCell ref="D3:D6"/>
    <mergeCell ref="D7:D10"/>
    <mergeCell ref="D11:D17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PI_Litho_良全</vt:lpstr>
      <vt:lpstr>PI_Litho_良全!Print_Area</vt:lpstr>
    </vt:vector>
  </TitlesOfParts>
  <Manager/>
  <Company>itri_office 2019win64_cht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郭子熒</dc:creator>
  <cp:keywords/>
  <dc:description/>
  <cp:lastModifiedBy>顏睿禹</cp:lastModifiedBy>
  <cp:revision/>
  <dcterms:created xsi:type="dcterms:W3CDTF">2024-10-07T07:12:42Z</dcterms:created>
  <dcterms:modified xsi:type="dcterms:W3CDTF">2026-07-20T03:12:13Z</dcterms:modified>
  <cp:category/>
  <cp:contentStatus/>
</cp:coreProperties>
</file>