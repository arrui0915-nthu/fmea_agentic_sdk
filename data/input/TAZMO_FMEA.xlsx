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lex_project\rag_test\data\"/>
    </mc:Choice>
  </mc:AlternateContent>
  <xr:revisionPtr revIDLastSave="0" documentId="13_ncr:1_{A6CFE580-8784-416B-B862-27C2A37235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ZMO_煥鈞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4" i="8" l="1"/>
  <c r="N54" i="8"/>
  <c r="M54" i="8"/>
  <c r="P54" i="8" s="1"/>
  <c r="K54" i="8"/>
  <c r="O53" i="8"/>
  <c r="N53" i="8"/>
  <c r="M53" i="8"/>
  <c r="P53" i="8" s="1"/>
  <c r="K53" i="8"/>
  <c r="O52" i="8"/>
  <c r="P52" i="8" s="1"/>
  <c r="N52" i="8"/>
  <c r="M52" i="8"/>
  <c r="K52" i="8"/>
  <c r="O51" i="8"/>
  <c r="N51" i="8"/>
  <c r="M51" i="8"/>
  <c r="P51" i="8" s="1"/>
  <c r="K51" i="8"/>
  <c r="O50" i="8"/>
  <c r="N50" i="8"/>
  <c r="M50" i="8"/>
  <c r="P50" i="8" s="1"/>
  <c r="K50" i="8"/>
  <c r="O49" i="8"/>
  <c r="N49" i="8"/>
  <c r="M49" i="8"/>
  <c r="P49" i="8" s="1"/>
  <c r="K49" i="8"/>
  <c r="O48" i="8"/>
  <c r="N48" i="8"/>
  <c r="M48" i="8"/>
  <c r="P48" i="8" s="1"/>
  <c r="K48" i="8"/>
  <c r="P47" i="8"/>
  <c r="O47" i="8"/>
  <c r="N47" i="8"/>
  <c r="M47" i="8"/>
  <c r="K47" i="8"/>
  <c r="O46" i="8"/>
  <c r="N46" i="8"/>
  <c r="M46" i="8"/>
  <c r="P46" i="8" s="1"/>
  <c r="K46" i="8"/>
  <c r="O45" i="8"/>
  <c r="N45" i="8"/>
  <c r="P45" i="8" s="1"/>
  <c r="M45" i="8"/>
  <c r="K45" i="8"/>
  <c r="O44" i="8"/>
  <c r="N44" i="8"/>
  <c r="M44" i="8"/>
  <c r="P44" i="8" s="1"/>
  <c r="K44" i="8"/>
  <c r="O43" i="8"/>
  <c r="N43" i="8"/>
  <c r="M43" i="8"/>
  <c r="P43" i="8" s="1"/>
  <c r="K43" i="8"/>
  <c r="O42" i="8"/>
  <c r="N42" i="8"/>
  <c r="M42" i="8"/>
  <c r="P42" i="8" s="1"/>
  <c r="K42" i="8"/>
  <c r="O41" i="8"/>
  <c r="N41" i="8"/>
  <c r="M41" i="8"/>
  <c r="P41" i="8" s="1"/>
  <c r="K41" i="8"/>
  <c r="O40" i="8"/>
  <c r="P40" i="8" s="1"/>
  <c r="N40" i="8"/>
  <c r="M40" i="8"/>
  <c r="K40" i="8"/>
  <c r="O39" i="8"/>
  <c r="N39" i="8"/>
  <c r="M39" i="8"/>
  <c r="P39" i="8" s="1"/>
  <c r="K39" i="8"/>
  <c r="O38" i="8"/>
  <c r="N38" i="8"/>
  <c r="M38" i="8"/>
  <c r="P38" i="8" s="1"/>
  <c r="K38" i="8"/>
  <c r="O37" i="8"/>
  <c r="N37" i="8"/>
  <c r="M37" i="8"/>
  <c r="P37" i="8" s="1"/>
  <c r="K37" i="8"/>
  <c r="O36" i="8"/>
  <c r="N36" i="8"/>
  <c r="M36" i="8"/>
  <c r="P36" i="8" s="1"/>
  <c r="K36" i="8"/>
  <c r="P35" i="8"/>
  <c r="O35" i="8"/>
  <c r="N35" i="8"/>
  <c r="M35" i="8"/>
  <c r="K35" i="8"/>
  <c r="O34" i="8"/>
  <c r="N34" i="8"/>
  <c r="M34" i="8"/>
  <c r="P34" i="8" s="1"/>
  <c r="K34" i="8"/>
  <c r="O33" i="8"/>
  <c r="N33" i="8"/>
  <c r="P33" i="8" s="1"/>
  <c r="M33" i="8"/>
  <c r="K33" i="8"/>
  <c r="O32" i="8"/>
  <c r="N32" i="8"/>
  <c r="M32" i="8"/>
  <c r="P32" i="8" s="1"/>
  <c r="K32" i="8"/>
  <c r="O31" i="8"/>
  <c r="N31" i="8"/>
  <c r="M31" i="8"/>
  <c r="P31" i="8" s="1"/>
  <c r="K31" i="8"/>
  <c r="O30" i="8"/>
  <c r="N30" i="8"/>
  <c r="M30" i="8"/>
  <c r="P30" i="8" s="1"/>
  <c r="K30" i="8"/>
  <c r="O29" i="8"/>
  <c r="N29" i="8"/>
  <c r="M29" i="8"/>
  <c r="P29" i="8" s="1"/>
  <c r="K29" i="8"/>
  <c r="O28" i="8"/>
  <c r="P28" i="8" s="1"/>
  <c r="N28" i="8"/>
  <c r="M28" i="8"/>
  <c r="K28" i="8"/>
  <c r="O27" i="8"/>
  <c r="N27" i="8"/>
  <c r="M27" i="8"/>
  <c r="P27" i="8" s="1"/>
  <c r="K27" i="8"/>
  <c r="O26" i="8"/>
  <c r="N26" i="8"/>
  <c r="M26" i="8"/>
  <c r="P26" i="8" s="1"/>
  <c r="K26" i="8"/>
  <c r="O25" i="8"/>
  <c r="N25" i="8"/>
  <c r="M25" i="8"/>
  <c r="P25" i="8" s="1"/>
  <c r="K25" i="8"/>
  <c r="O24" i="8"/>
  <c r="N24" i="8"/>
  <c r="M24" i="8"/>
  <c r="P24" i="8" s="1"/>
  <c r="K24" i="8"/>
  <c r="P23" i="8"/>
  <c r="O23" i="8"/>
  <c r="N23" i="8"/>
  <c r="M23" i="8"/>
  <c r="K23" i="8"/>
  <c r="O22" i="8"/>
  <c r="N22" i="8"/>
  <c r="M22" i="8"/>
  <c r="P22" i="8" s="1"/>
  <c r="K22" i="8"/>
  <c r="O21" i="8"/>
  <c r="N21" i="8"/>
  <c r="P21" i="8" s="1"/>
  <c r="M21" i="8"/>
  <c r="K21" i="8"/>
  <c r="O20" i="8"/>
  <c r="N20" i="8"/>
  <c r="M20" i="8"/>
  <c r="P20" i="8" s="1"/>
  <c r="K20" i="8"/>
  <c r="O19" i="8"/>
  <c r="N19" i="8"/>
  <c r="M19" i="8"/>
  <c r="P19" i="8" s="1"/>
  <c r="K19" i="8"/>
  <c r="O18" i="8"/>
  <c r="N18" i="8"/>
  <c r="M18" i="8"/>
  <c r="P18" i="8" s="1"/>
  <c r="K18" i="8"/>
  <c r="O17" i="8"/>
  <c r="N17" i="8"/>
  <c r="M17" i="8"/>
  <c r="P17" i="8" s="1"/>
  <c r="K17" i="8"/>
  <c r="O16" i="8"/>
  <c r="P16" i="8" s="1"/>
  <c r="N16" i="8"/>
  <c r="M16" i="8"/>
  <c r="K16" i="8"/>
  <c r="O15" i="8"/>
  <c r="N15" i="8"/>
  <c r="M15" i="8"/>
  <c r="P15" i="8" s="1"/>
  <c r="K15" i="8"/>
  <c r="O14" i="8"/>
  <c r="N14" i="8"/>
  <c r="M14" i="8"/>
  <c r="P14" i="8" s="1"/>
  <c r="K14" i="8"/>
  <c r="O13" i="8"/>
  <c r="N13" i="8"/>
  <c r="M13" i="8"/>
  <c r="P13" i="8" s="1"/>
  <c r="K13" i="8"/>
  <c r="O12" i="8"/>
  <c r="N12" i="8"/>
  <c r="M12" i="8"/>
  <c r="P12" i="8" s="1"/>
  <c r="K12" i="8"/>
  <c r="P11" i="8"/>
  <c r="O11" i="8"/>
  <c r="N11" i="8"/>
  <c r="M11" i="8"/>
  <c r="K11" i="8"/>
  <c r="O10" i="8"/>
  <c r="N10" i="8"/>
  <c r="M10" i="8"/>
  <c r="P10" i="8" s="1"/>
  <c r="K10" i="8"/>
  <c r="O9" i="8"/>
  <c r="N9" i="8"/>
  <c r="P9" i="8" s="1"/>
  <c r="M9" i="8"/>
  <c r="K9" i="8"/>
  <c r="O8" i="8"/>
  <c r="N8" i="8"/>
  <c r="M8" i="8"/>
  <c r="P8" i="8" s="1"/>
  <c r="K8" i="8"/>
  <c r="O7" i="8"/>
  <c r="N7" i="8"/>
  <c r="M7" i="8"/>
  <c r="P7" i="8" s="1"/>
  <c r="K7" i="8"/>
  <c r="O6" i="8"/>
  <c r="N6" i="8"/>
  <c r="M6" i="8"/>
  <c r="P6" i="8" s="1"/>
  <c r="K6" i="8"/>
  <c r="O5" i="8"/>
  <c r="N5" i="8"/>
  <c r="M5" i="8"/>
  <c r="P5" i="8" s="1"/>
  <c r="K5" i="8"/>
  <c r="O4" i="8"/>
  <c r="P4" i="8" s="1"/>
  <c r="N4" i="8"/>
  <c r="M4" i="8"/>
  <c r="K4" i="8"/>
  <c r="O3" i="8"/>
  <c r="N3" i="8"/>
  <c r="M3" i="8"/>
  <c r="P3" i="8" s="1"/>
  <c r="K3" i="8"/>
</calcChain>
</file>

<file path=xl/sharedStrings.xml><?xml version="1.0" encoding="utf-8"?>
<sst xmlns="http://schemas.openxmlformats.org/spreadsheetml/2006/main" count="254" uniqueCount="156">
  <si>
    <t>設計製程項目
(Process Design)</t>
    <phoneticPr fontId="1" type="noConversion"/>
  </si>
  <si>
    <t>功能要求
(Functional Requirement)</t>
    <phoneticPr fontId="1" type="noConversion"/>
  </si>
  <si>
    <t>潛在失效模式
(Potential Failure Model)</t>
    <phoneticPr fontId="1" type="noConversion"/>
  </si>
  <si>
    <t>失效可能後果
(Failure Causes Potential Serious results)</t>
    <phoneticPr fontId="1" type="noConversion"/>
  </si>
  <si>
    <t>嚴重度(S)</t>
    <phoneticPr fontId="1" type="noConversion"/>
  </si>
  <si>
    <t>失效可能原因
(Potential reasons)</t>
    <phoneticPr fontId="1" type="noConversion"/>
  </si>
  <si>
    <t>發生度(O)</t>
    <phoneticPr fontId="1" type="noConversion"/>
  </si>
  <si>
    <t>現有控制方法
(Current Process Inspection)</t>
    <phoneticPr fontId="1" type="noConversion"/>
  </si>
  <si>
    <t>偵測度(D)</t>
    <phoneticPr fontId="1" type="noConversion"/>
  </si>
  <si>
    <t>風險等級(RPN)</t>
    <phoneticPr fontId="1" type="noConversion"/>
  </si>
  <si>
    <t>負責人/日期</t>
    <phoneticPr fontId="1" type="noConversion"/>
  </si>
  <si>
    <t>建議措施
(Recommended Actions)</t>
    <phoneticPr fontId="1" type="noConversion"/>
  </si>
  <si>
    <t>1.Wafer handling</t>
    <phoneticPr fontId="1" type="noConversion"/>
  </si>
  <si>
    <t xml:space="preserve"> 晶圓進料檢查</t>
    <phoneticPr fontId="1" type="noConversion"/>
  </si>
  <si>
    <t>晶片表面異常</t>
    <phoneticPr fontId="1" type="noConversion"/>
  </si>
  <si>
    <t>金屬蝕刻濺影殘留</t>
    <phoneticPr fontId="1" type="noConversion"/>
  </si>
  <si>
    <t>晶片表面刮痕、顆粒、凹凸過大,背面太髒</t>
    <phoneticPr fontId="1" type="noConversion"/>
  </si>
  <si>
    <t>目視/OM檢查</t>
    <phoneticPr fontId="1" type="noConversion"/>
  </si>
  <si>
    <t>要求前站增加檢查樣本數, 並出示檢測證明</t>
    <phoneticPr fontId="1" type="noConversion"/>
  </si>
  <si>
    <t>晶片取放/傳送</t>
    <phoneticPr fontId="1" type="noConversion"/>
  </si>
  <si>
    <t>晶片偵測異常</t>
    <phoneticPr fontId="1" type="noConversion"/>
  </si>
  <si>
    <t>需人工確認處裡</t>
    <phoneticPr fontId="1" type="noConversion"/>
  </si>
  <si>
    <t>晶片斜插,雙晶片,厚晶片,sensor異常, FOUP/FOSB</t>
    <phoneticPr fontId="1" type="noConversion"/>
  </si>
  <si>
    <t>機台發出警報, 重新load,
FOSB換成FOUP</t>
    <phoneticPr fontId="1" type="noConversion"/>
  </si>
  <si>
    <t>取放失誤</t>
    <phoneticPr fontId="1" type="noConversion"/>
  </si>
  <si>
    <t>warp太大, 手臂之真空異常</t>
    <phoneticPr fontId="1" type="noConversion"/>
  </si>
  <si>
    <t>機台發出警報, 將手臂上小吸盤從6個減成2個</t>
    <phoneticPr fontId="1" type="noConversion"/>
  </si>
  <si>
    <t>Particle</t>
    <phoneticPr fontId="1" type="noConversion"/>
  </si>
  <si>
    <t>晶片表面有particle</t>
    <phoneticPr fontId="1" type="noConversion"/>
  </si>
  <si>
    <t>手臂/吸盤未清潔</t>
    <phoneticPr fontId="1" type="noConversion"/>
  </si>
  <si>
    <t>定期擦拭手臂/吸盤</t>
    <phoneticPr fontId="1" type="noConversion"/>
  </si>
  <si>
    <t>定期擦拭手臂/吸盤,進行晶片傳送/取放測試</t>
    <phoneticPr fontId="1" type="noConversion"/>
  </si>
  <si>
    <t>晶片中心化</t>
    <phoneticPr fontId="1" type="noConversion"/>
  </si>
  <si>
    <t>偵測失誤</t>
    <phoneticPr fontId="1" type="noConversion"/>
  </si>
  <si>
    <t>notch不只一處(glass WF),
晶片邊緣異常</t>
    <phoneticPr fontId="1" type="noConversion"/>
  </si>
  <si>
    <t>晶片退出重新載入</t>
    <phoneticPr fontId="1" type="noConversion"/>
  </si>
  <si>
    <t>晶片未置中</t>
    <phoneticPr fontId="1" type="noConversion"/>
  </si>
  <si>
    <t>後續旋轉製程使晶片飛離破裂</t>
    <phoneticPr fontId="1" type="noConversion"/>
  </si>
  <si>
    <t>sensor故障, 馬達故障</t>
    <phoneticPr fontId="1" type="noConversion"/>
  </si>
  <si>
    <t>後續製程腔體內有偵測晶片之sensor</t>
    <phoneticPr fontId="1" type="noConversion"/>
  </si>
  <si>
    <t>2.光阻去除</t>
    <phoneticPr fontId="1" type="noConversion"/>
  </si>
  <si>
    <t>光阻去除區</t>
    <phoneticPr fontId="1" type="noConversion"/>
  </si>
  <si>
    <t>去除液效能</t>
    <phoneticPr fontId="1" type="noConversion"/>
  </si>
  <si>
    <t>PR去除不乾淨，底層seed-layer蝕刻不乾淨</t>
    <phoneticPr fontId="1" type="noConversion"/>
  </si>
  <si>
    <t>去除液效果減弱</t>
    <phoneticPr fontId="1" type="noConversion"/>
  </si>
  <si>
    <t>肉眼/OM檢測,定期更換藥液</t>
    <phoneticPr fontId="1" type="noConversion"/>
  </si>
  <si>
    <t>需要時增加更換藥液頻率</t>
    <phoneticPr fontId="1" type="noConversion"/>
  </si>
  <si>
    <t>去除液溫控</t>
    <phoneticPr fontId="1" type="noConversion"/>
  </si>
  <si>
    <t>溫度sensor異常</t>
    <phoneticPr fontId="1" type="noConversion"/>
  </si>
  <si>
    <t>機台發出警報</t>
    <phoneticPr fontId="1" type="noConversion"/>
  </si>
  <si>
    <t>使用前人員確認溫度</t>
    <phoneticPr fontId="1" type="noConversion"/>
  </si>
  <si>
    <t>前製程使光阻過烤/變質/燒焦</t>
    <phoneticPr fontId="1" type="noConversion"/>
  </si>
  <si>
    <t>光阻於製程時過烤
電漿/電鍍使光阻燒焦</t>
    <phoneticPr fontId="1" type="noConversion"/>
  </si>
  <si>
    <t>OM顏色判斷</t>
    <phoneticPr fontId="1" type="noConversion"/>
  </si>
  <si>
    <t>供液pump</t>
    <phoneticPr fontId="1" type="noConversion"/>
  </si>
  <si>
    <t>去除液吐量弱/不吐</t>
    <phoneticPr fontId="1" type="noConversion"/>
  </si>
  <si>
    <t>供液Pump故障造成吐液異常</t>
    <phoneticPr fontId="1" type="noConversion"/>
  </si>
  <si>
    <t>請原廠保養/檢測</t>
    <phoneticPr fontId="1" type="noConversion"/>
  </si>
  <si>
    <t>N2壓力</t>
    <phoneticPr fontId="1" type="noConversion"/>
  </si>
  <si>
    <t>暖機時間不夠N2壓力太低</t>
    <phoneticPr fontId="1" type="noConversion"/>
  </si>
  <si>
    <t>機台已設定最低操作壓力,人工檢測流量錶</t>
    <phoneticPr fontId="1" type="noConversion"/>
  </si>
  <si>
    <t>使用前/時 確認壓力錶</t>
    <phoneticPr fontId="1" type="noConversion"/>
  </si>
  <si>
    <t>轉速異常</t>
    <phoneticPr fontId="1" type="noConversion"/>
  </si>
  <si>
    <t>晶片不旋轉,PR去除/清洗不乾淨</t>
    <phoneticPr fontId="1" type="noConversion"/>
  </si>
  <si>
    <t>旋轉馬達異常,轉速不對</t>
    <phoneticPr fontId="1" type="noConversion"/>
  </si>
  <si>
    <t>機台自動偵測轉速</t>
    <phoneticPr fontId="1" type="noConversion"/>
  </si>
  <si>
    <t>請原廠固定保養/檢測</t>
    <phoneticPr fontId="1" type="noConversion"/>
  </si>
  <si>
    <t>吐料手臂擺動異常</t>
    <phoneticPr fontId="1" type="noConversion"/>
  </si>
  <si>
    <t>手臂不擺動,PR去除/清洗不乾淨</t>
    <phoneticPr fontId="1" type="noConversion"/>
  </si>
  <si>
    <t>馬達/控制器 異常</t>
    <phoneticPr fontId="1" type="noConversion"/>
  </si>
  <si>
    <t>機台自動偵測</t>
    <phoneticPr fontId="1" type="noConversion"/>
  </si>
  <si>
    <t>exhaust排氣異常</t>
    <phoneticPr fontId="1" type="noConversion"/>
  </si>
  <si>
    <t>去除液異味飄出</t>
    <phoneticPr fontId="1" type="noConversion"/>
  </si>
  <si>
    <t>排氣異常</t>
    <phoneticPr fontId="1" type="noConversion"/>
  </si>
  <si>
    <t>定期檢查排氣是否正常</t>
    <phoneticPr fontId="1" type="noConversion"/>
  </si>
  <si>
    <t>CUP轉換異常</t>
    <phoneticPr fontId="1" type="noConversion"/>
  </si>
  <si>
    <t>藥液無法在正確管路排出</t>
    <phoneticPr fontId="1" type="noConversion"/>
  </si>
  <si>
    <t>CUP控制馬達故障</t>
    <phoneticPr fontId="1" type="noConversion"/>
  </si>
  <si>
    <t>固定pin故障</t>
    <phoneticPr fontId="1" type="noConversion"/>
  </si>
  <si>
    <t>晶片無法固定</t>
    <phoneticPr fontId="1" type="noConversion"/>
  </si>
  <si>
    <t>馬達故障,齒輪損壞</t>
    <phoneticPr fontId="1" type="noConversion"/>
  </si>
  <si>
    <t>晶片偵測sensor</t>
    <phoneticPr fontId="1" type="noConversion"/>
  </si>
  <si>
    <t>無法判斷是否有晶片</t>
    <phoneticPr fontId="1" type="noConversion"/>
  </si>
  <si>
    <t>晶片表面太粗糙</t>
    <phoneticPr fontId="1" type="noConversion"/>
  </si>
  <si>
    <t>機台發出警報手動取出</t>
    <phoneticPr fontId="1" type="noConversion"/>
  </si>
  <si>
    <t>Particle在晶片表面</t>
    <phoneticPr fontId="1" type="noConversion"/>
  </si>
  <si>
    <t>晶片表面particle</t>
    <phoneticPr fontId="1" type="noConversion"/>
  </si>
  <si>
    <t>CUP壁不乾淨在晶片旋轉時捲回晶片表面</t>
    <phoneticPr fontId="1" type="noConversion"/>
  </si>
  <si>
    <t>定期清潔CUP</t>
    <phoneticPr fontId="1" type="noConversion"/>
  </si>
  <si>
    <t>供液區</t>
    <phoneticPr fontId="1" type="noConversion"/>
  </si>
  <si>
    <t>藥液存量</t>
    <phoneticPr fontId="1" type="noConversion"/>
  </si>
  <si>
    <t>無法供液需人工確認處裡</t>
    <phoneticPr fontId="1" type="noConversion"/>
  </si>
  <si>
    <t>藥液不足</t>
    <phoneticPr fontId="1" type="noConversion"/>
  </si>
  <si>
    <t>不定時檢查/補充藥液</t>
    <phoneticPr fontId="1" type="noConversion"/>
  </si>
  <si>
    <t>filter</t>
    <phoneticPr fontId="1" type="noConversion"/>
  </si>
  <si>
    <t>供液量減弱</t>
    <phoneticPr fontId="1" type="noConversion"/>
  </si>
  <si>
    <t>filter阻塞</t>
    <phoneticPr fontId="1" type="noConversion"/>
  </si>
  <si>
    <t>定期換filter</t>
    <phoneticPr fontId="1" type="noConversion"/>
  </si>
  <si>
    <t>循環pump</t>
    <phoneticPr fontId="1" type="noConversion"/>
  </si>
  <si>
    <t>pump故障藥液無法循環</t>
    <phoneticPr fontId="1" type="noConversion"/>
  </si>
  <si>
    <t>藥液溫控</t>
    <phoneticPr fontId="1" type="noConversion"/>
  </si>
  <si>
    <t>無法供液需等待溫度至設定值,人工確認處裡</t>
    <phoneticPr fontId="1" type="noConversion"/>
  </si>
  <si>
    <t>溫度sensor異常,加熱器異常</t>
    <phoneticPr fontId="1" type="noConversion"/>
  </si>
  <si>
    <t>有設定溫度上下限</t>
    <phoneticPr fontId="1" type="noConversion"/>
  </si>
  <si>
    <t>N2異常</t>
    <phoneticPr fontId="1" type="noConversion"/>
  </si>
  <si>
    <t>無法補充藥液</t>
    <phoneticPr fontId="1" type="noConversion"/>
  </si>
  <si>
    <t>N2壓力不足,控制閥故障</t>
    <phoneticPr fontId="1" type="noConversion"/>
  </si>
  <si>
    <t>機台自動偵測N2值</t>
    <phoneticPr fontId="1" type="noConversion"/>
  </si>
  <si>
    <t>去除液異味無法抽離</t>
    <phoneticPr fontId="1" type="noConversion"/>
  </si>
  <si>
    <t>廢液區</t>
    <phoneticPr fontId="1" type="noConversion"/>
  </si>
  <si>
    <t>液位偵測</t>
    <phoneticPr fontId="1" type="noConversion"/>
  </si>
  <si>
    <t>無法抽離廢液</t>
    <phoneticPr fontId="1" type="noConversion"/>
  </si>
  <si>
    <t>sensor異常</t>
    <phoneticPr fontId="1" type="noConversion"/>
  </si>
  <si>
    <t>人工觀察</t>
    <phoneticPr fontId="1" type="noConversion"/>
  </si>
  <si>
    <t>pump</t>
    <phoneticPr fontId="1" type="noConversion"/>
  </si>
  <si>
    <t>pump異常</t>
    <phoneticPr fontId="1" type="noConversion"/>
  </si>
  <si>
    <t>人工觀察,定期更換</t>
    <phoneticPr fontId="1" type="noConversion"/>
  </si>
  <si>
    <t>定期更換</t>
    <phoneticPr fontId="1" type="noConversion"/>
  </si>
  <si>
    <t>3.金屬蝕刻</t>
    <phoneticPr fontId="1" type="noConversion"/>
  </si>
  <si>
    <t>蝕刻製程區</t>
    <phoneticPr fontId="1" type="noConversion"/>
  </si>
  <si>
    <t>蝕刻液效能-銅</t>
    <phoneticPr fontId="1" type="noConversion"/>
  </si>
  <si>
    <t>蝕刻能力減弱</t>
    <phoneticPr fontId="1" type="noConversion"/>
  </si>
  <si>
    <t>蝕刻液未更新, 藥液比例錯誤</t>
    <phoneticPr fontId="1" type="noConversion"/>
  </si>
  <si>
    <t>人工檢測,定時更換藥水
每週測試蝕刻率</t>
    <phoneticPr fontId="1" type="noConversion"/>
  </si>
  <si>
    <t>人工檢測,定時更換藥水</t>
    <phoneticPr fontId="1" type="noConversion"/>
  </si>
  <si>
    <t>蝕刻液效能-鈦</t>
    <phoneticPr fontId="1" type="noConversion"/>
  </si>
  <si>
    <t>藥液比例錯誤</t>
  </si>
  <si>
    <t>人工檢測,不定時補充藥水</t>
    <phoneticPr fontId="1" type="noConversion"/>
  </si>
  <si>
    <t>蝕刻液溫控</t>
    <phoneticPr fontId="1" type="noConversion"/>
  </si>
  <si>
    <t>蝕刻率改變</t>
    <phoneticPr fontId="1" type="noConversion"/>
  </si>
  <si>
    <t>加熱器故障</t>
    <phoneticPr fontId="1" type="noConversion"/>
  </si>
  <si>
    <t>未使用</t>
    <phoneticPr fontId="1" type="noConversion"/>
  </si>
  <si>
    <t>未來使用有恆溫控制之設備</t>
    <phoneticPr fontId="1" type="noConversion"/>
  </si>
  <si>
    <t>DIW清洗不足</t>
    <phoneticPr fontId="1" type="noConversion"/>
  </si>
  <si>
    <t>金屬線路under-cut</t>
    <phoneticPr fontId="1" type="noConversion"/>
  </si>
  <si>
    <t>DIW 1.時間不足 2.供應管路異常</t>
    <phoneticPr fontId="1" type="noConversion"/>
  </si>
  <si>
    <t>依機台內設定</t>
    <phoneticPr fontId="1" type="noConversion"/>
  </si>
  <si>
    <t>蝕刻液吐液量降低</t>
    <phoneticPr fontId="1" type="noConversion"/>
  </si>
  <si>
    <t>蝕刻液吐液量降低/不吐</t>
    <phoneticPr fontId="1" type="noConversion"/>
  </si>
  <si>
    <t>晶片不旋轉,蝕刻/清洗不乾淨</t>
    <phoneticPr fontId="1" type="noConversion"/>
  </si>
  <si>
    <t>手臂不擺動,蝕刻/清洗不乾淨</t>
    <phoneticPr fontId="1" type="noConversion"/>
  </si>
  <si>
    <t>蝕刻液異味無法抽離</t>
    <phoneticPr fontId="1" type="noConversion"/>
  </si>
  <si>
    <t>蝕刻液無法在正確管路排出</t>
    <phoneticPr fontId="1" type="noConversion"/>
  </si>
  <si>
    <t>綜合供液區</t>
    <phoneticPr fontId="1" type="noConversion"/>
  </si>
  <si>
    <t>無法補充藥水</t>
    <phoneticPr fontId="1" type="noConversion"/>
  </si>
  <si>
    <t>exhaust</t>
    <phoneticPr fontId="1" type="noConversion"/>
  </si>
  <si>
    <t>廠務抽氣減弱</t>
    <phoneticPr fontId="1" type="noConversion"/>
  </si>
  <si>
    <t>藥液蓋</t>
    <phoneticPr fontId="1" type="noConversion"/>
  </si>
  <si>
    <t>蓋子沒關緊N2加壓不足</t>
    <phoneticPr fontId="1" type="noConversion"/>
  </si>
  <si>
    <t>人工確認</t>
    <phoneticPr fontId="1" type="noConversion"/>
  </si>
  <si>
    <t>銅/鈦混酸供液區</t>
    <phoneticPr fontId="1" type="noConversion"/>
  </si>
  <si>
    <t>蝕刻液無法循環,供液</t>
    <phoneticPr fontId="1" type="noConversion"/>
  </si>
  <si>
    <t>供藥量減弱</t>
    <phoneticPr fontId="1" type="noConversion"/>
  </si>
  <si>
    <t>溫控</t>
    <phoneticPr fontId="1" type="noConversion"/>
  </si>
  <si>
    <t>廢液區</t>
  </si>
  <si>
    <t>FMEA最主目的在針對還未發生的可能失效模式，預想其對策並希望消弭重大失效於未然，但FMEA要的可不是那種無中生有、憑空想像出來的失效內容，所以填寫FMEA的人選得是那些有過實戰經驗的人員才行。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</si>
</sst>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8"/>
      <color rgb="FF383838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76" fontId="2" fillId="0" borderId="0" xfId="0" quotePrefix="1" applyNumberFormat="1" applyFont="1" applyAlignment="1">
      <alignment horizontal="left"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readingOrder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66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F64F-DA2E-4963-A57B-E2E0771D22E4}">
  <sheetPr>
    <tabColor theme="9" tint="0.59999389629810485"/>
  </sheetPr>
  <dimension ref="A1:BS84"/>
  <sheetViews>
    <sheetView tabSelected="1" zoomScale="70" zoomScaleNormal="70" workbookViewId="0">
      <selection activeCell="E11" sqref="E11"/>
    </sheetView>
  </sheetViews>
  <sheetFormatPr defaultColWidth="8.88671875" defaultRowHeight="15.6" x14ac:dyDescent="0.3"/>
  <cols>
    <col min="1" max="1" width="3.88671875" style="2" customWidth="1"/>
    <col min="2" max="2" width="26.33203125" style="24" customWidth="1"/>
    <col min="3" max="3" width="36.88671875" style="24" customWidth="1"/>
    <col min="4" max="4" width="39.21875" style="24" customWidth="1"/>
    <col min="5" max="5" width="53.77734375" style="24" customWidth="1"/>
    <col min="6" max="6" width="9.44140625" style="2" customWidth="1"/>
    <col min="7" max="7" width="39.109375" style="24" customWidth="1"/>
    <col min="8" max="8" width="10" style="2" customWidth="1"/>
    <col min="9" max="9" width="40.44140625" style="24" customWidth="1"/>
    <col min="10" max="10" width="10.44140625" style="2" customWidth="1"/>
    <col min="11" max="11" width="12" style="2" customWidth="1"/>
    <col min="12" max="12" width="36.88671875" style="24" customWidth="1"/>
    <col min="13" max="13" width="10.21875" style="2" customWidth="1"/>
    <col min="14" max="14" width="10.109375" style="2" customWidth="1"/>
    <col min="15" max="15" width="9.77734375" style="2" customWidth="1"/>
    <col min="16" max="16" width="12.88671875" style="2" customWidth="1"/>
    <col min="17" max="17" width="16.88671875" style="2" customWidth="1"/>
    <col min="18" max="19" width="8.88671875" style="2"/>
    <col min="20" max="21" width="11.44140625" style="2" bestFit="1" customWidth="1"/>
    <col min="22" max="22" width="11.44140625" style="2" customWidth="1"/>
    <col min="23" max="23" width="15.109375" style="2" customWidth="1"/>
    <col min="24" max="24" width="12.88671875" style="2" bestFit="1" customWidth="1"/>
    <col min="25" max="16384" width="8.88671875" style="2"/>
  </cols>
  <sheetData>
    <row r="1" spans="1:17" x14ac:dyDescent="0.3">
      <c r="H1" s="3"/>
      <c r="I1" s="25"/>
      <c r="J1" s="3"/>
    </row>
    <row r="2" spans="1:17" ht="64.8" x14ac:dyDescent="0.3">
      <c r="A2" s="1"/>
      <c r="B2" s="11" t="s">
        <v>0</v>
      </c>
      <c r="C2" s="11" t="s">
        <v>1</v>
      </c>
      <c r="D2" s="11" t="s">
        <v>2</v>
      </c>
      <c r="E2" s="11" t="s">
        <v>3</v>
      </c>
      <c r="F2" s="6" t="s">
        <v>4</v>
      </c>
      <c r="G2" s="11" t="s">
        <v>5</v>
      </c>
      <c r="H2" s="7" t="s">
        <v>6</v>
      </c>
      <c r="I2" s="11" t="s">
        <v>7</v>
      </c>
      <c r="J2" s="8" t="s">
        <v>8</v>
      </c>
      <c r="K2" s="9" t="s">
        <v>9</v>
      </c>
      <c r="L2" s="11" t="s">
        <v>11</v>
      </c>
      <c r="M2" s="11" t="s">
        <v>4</v>
      </c>
      <c r="N2" s="11" t="s">
        <v>6</v>
      </c>
      <c r="O2" s="11" t="s">
        <v>8</v>
      </c>
      <c r="P2" s="11" t="s">
        <v>9</v>
      </c>
      <c r="Q2" s="11" t="s">
        <v>10</v>
      </c>
    </row>
    <row r="3" spans="1:17" ht="43.2" x14ac:dyDescent="0.3">
      <c r="A3" s="1"/>
      <c r="B3" s="36" t="s">
        <v>12</v>
      </c>
      <c r="C3" s="11" t="s">
        <v>13</v>
      </c>
      <c r="D3" s="11" t="s">
        <v>14</v>
      </c>
      <c r="E3" s="11" t="s">
        <v>15</v>
      </c>
      <c r="F3" s="6">
        <v>5</v>
      </c>
      <c r="G3" s="11" t="s">
        <v>16</v>
      </c>
      <c r="H3" s="7">
        <v>2</v>
      </c>
      <c r="I3" s="11" t="s">
        <v>17</v>
      </c>
      <c r="J3" s="8">
        <v>3</v>
      </c>
      <c r="K3" s="9">
        <f>F3*H3*J3</f>
        <v>30</v>
      </c>
      <c r="L3" s="11" t="s">
        <v>18</v>
      </c>
      <c r="M3" s="10">
        <f>F3</f>
        <v>5</v>
      </c>
      <c r="N3" s="10">
        <f>H3</f>
        <v>2</v>
      </c>
      <c r="O3" s="10">
        <f>J3</f>
        <v>3</v>
      </c>
      <c r="P3" s="10">
        <f t="shared" ref="P3:P54" si="0">M3*N3*O3</f>
        <v>30</v>
      </c>
      <c r="Q3" s="11"/>
    </row>
    <row r="4" spans="1:17" ht="64.8" x14ac:dyDescent="0.3">
      <c r="A4" s="1"/>
      <c r="B4" s="37"/>
      <c r="C4" s="36" t="s">
        <v>19</v>
      </c>
      <c r="D4" s="11" t="s">
        <v>20</v>
      </c>
      <c r="E4" s="11" t="s">
        <v>21</v>
      </c>
      <c r="F4" s="6">
        <v>7</v>
      </c>
      <c r="G4" s="11" t="s">
        <v>22</v>
      </c>
      <c r="H4" s="7">
        <v>5</v>
      </c>
      <c r="I4" s="11" t="s">
        <v>23</v>
      </c>
      <c r="J4" s="8">
        <v>1</v>
      </c>
      <c r="K4" s="9">
        <f t="shared" ref="K4:K54" si="1">F4*H4*J4</f>
        <v>35</v>
      </c>
      <c r="L4" s="11"/>
      <c r="M4" s="10">
        <f t="shared" ref="M4:M54" si="2">F4</f>
        <v>7</v>
      </c>
      <c r="N4" s="10">
        <f t="shared" ref="N4:N54" si="3">H4</f>
        <v>5</v>
      </c>
      <c r="O4" s="10">
        <f t="shared" ref="O4:O54" si="4">J4</f>
        <v>1</v>
      </c>
      <c r="P4" s="10">
        <f t="shared" si="0"/>
        <v>35</v>
      </c>
      <c r="Q4" s="11"/>
    </row>
    <row r="5" spans="1:17" ht="43.2" x14ac:dyDescent="0.3">
      <c r="A5" s="1"/>
      <c r="B5" s="37"/>
      <c r="C5" s="37"/>
      <c r="D5" s="11" t="s">
        <v>24</v>
      </c>
      <c r="E5" s="11" t="s">
        <v>21</v>
      </c>
      <c r="F5" s="6">
        <v>7</v>
      </c>
      <c r="G5" s="11" t="s">
        <v>25</v>
      </c>
      <c r="H5" s="7">
        <v>3</v>
      </c>
      <c r="I5" s="11" t="s">
        <v>26</v>
      </c>
      <c r="J5" s="8">
        <v>1</v>
      </c>
      <c r="K5" s="9">
        <f t="shared" si="1"/>
        <v>21</v>
      </c>
      <c r="L5" s="11"/>
      <c r="M5" s="10">
        <f t="shared" si="2"/>
        <v>7</v>
      </c>
      <c r="N5" s="10">
        <f t="shared" si="3"/>
        <v>3</v>
      </c>
      <c r="O5" s="10">
        <f t="shared" si="4"/>
        <v>1</v>
      </c>
      <c r="P5" s="10">
        <f t="shared" si="0"/>
        <v>21</v>
      </c>
      <c r="Q5" s="11"/>
    </row>
    <row r="6" spans="1:17" ht="43.2" x14ac:dyDescent="0.3">
      <c r="A6" s="1"/>
      <c r="B6" s="37"/>
      <c r="C6" s="38"/>
      <c r="D6" s="28" t="s">
        <v>27</v>
      </c>
      <c r="E6" s="11" t="s">
        <v>28</v>
      </c>
      <c r="F6" s="6">
        <v>3</v>
      </c>
      <c r="G6" s="11" t="s">
        <v>29</v>
      </c>
      <c r="H6" s="7">
        <v>3</v>
      </c>
      <c r="I6" s="11" t="s">
        <v>30</v>
      </c>
      <c r="J6" s="8">
        <v>5</v>
      </c>
      <c r="K6" s="9">
        <f t="shared" si="1"/>
        <v>45</v>
      </c>
      <c r="L6" s="11" t="s">
        <v>31</v>
      </c>
      <c r="M6" s="10">
        <f t="shared" si="2"/>
        <v>3</v>
      </c>
      <c r="N6" s="10">
        <f t="shared" si="3"/>
        <v>3</v>
      </c>
      <c r="O6" s="10">
        <f t="shared" si="4"/>
        <v>5</v>
      </c>
      <c r="P6" s="10">
        <f t="shared" si="0"/>
        <v>45</v>
      </c>
      <c r="Q6" s="11"/>
    </row>
    <row r="7" spans="1:17" ht="43.2" x14ac:dyDescent="0.3">
      <c r="A7" s="1"/>
      <c r="B7" s="37"/>
      <c r="C7" s="36" t="s">
        <v>32</v>
      </c>
      <c r="D7" s="28" t="s">
        <v>33</v>
      </c>
      <c r="E7" s="11" t="s">
        <v>21</v>
      </c>
      <c r="F7" s="6">
        <v>7</v>
      </c>
      <c r="G7" s="11" t="s">
        <v>34</v>
      </c>
      <c r="H7" s="7">
        <v>3</v>
      </c>
      <c r="I7" s="11" t="s">
        <v>35</v>
      </c>
      <c r="J7" s="8">
        <v>1</v>
      </c>
      <c r="K7" s="9">
        <f t="shared" si="1"/>
        <v>21</v>
      </c>
      <c r="L7" s="11"/>
      <c r="M7" s="10">
        <f t="shared" si="2"/>
        <v>7</v>
      </c>
      <c r="N7" s="10">
        <f t="shared" si="3"/>
        <v>3</v>
      </c>
      <c r="O7" s="10">
        <f t="shared" si="4"/>
        <v>1</v>
      </c>
      <c r="P7" s="10">
        <f t="shared" si="0"/>
        <v>21</v>
      </c>
      <c r="Q7" s="11"/>
    </row>
    <row r="8" spans="1:17" ht="43.2" x14ac:dyDescent="0.3">
      <c r="A8" s="1"/>
      <c r="B8" s="38"/>
      <c r="C8" s="38"/>
      <c r="D8" s="11" t="s">
        <v>36</v>
      </c>
      <c r="E8" s="11" t="s">
        <v>37</v>
      </c>
      <c r="F8" s="6">
        <v>7</v>
      </c>
      <c r="G8" s="11" t="s">
        <v>38</v>
      </c>
      <c r="H8" s="7">
        <v>1</v>
      </c>
      <c r="I8" s="11" t="s">
        <v>39</v>
      </c>
      <c r="J8" s="8">
        <v>3</v>
      </c>
      <c r="K8" s="9">
        <f t="shared" si="1"/>
        <v>21</v>
      </c>
      <c r="L8" s="11"/>
      <c r="M8" s="10">
        <f t="shared" si="2"/>
        <v>7</v>
      </c>
      <c r="N8" s="10">
        <f t="shared" si="3"/>
        <v>1</v>
      </c>
      <c r="O8" s="10">
        <f t="shared" si="4"/>
        <v>3</v>
      </c>
      <c r="P8" s="10">
        <f t="shared" si="0"/>
        <v>21</v>
      </c>
      <c r="Q8" s="11"/>
    </row>
    <row r="9" spans="1:17" ht="51" customHeight="1" x14ac:dyDescent="0.3">
      <c r="A9" s="1"/>
      <c r="B9" s="37" t="s">
        <v>40</v>
      </c>
      <c r="C9" s="39" t="s">
        <v>41</v>
      </c>
      <c r="D9" s="11" t="s">
        <v>42</v>
      </c>
      <c r="E9" s="11" t="s">
        <v>43</v>
      </c>
      <c r="F9" s="6">
        <v>5</v>
      </c>
      <c r="G9" s="11" t="s">
        <v>44</v>
      </c>
      <c r="H9" s="7">
        <v>3</v>
      </c>
      <c r="I9" s="11" t="s">
        <v>45</v>
      </c>
      <c r="J9" s="8">
        <v>5</v>
      </c>
      <c r="K9" s="9">
        <f t="shared" si="1"/>
        <v>75</v>
      </c>
      <c r="L9" s="11" t="s">
        <v>46</v>
      </c>
      <c r="M9" s="10">
        <f t="shared" si="2"/>
        <v>5</v>
      </c>
      <c r="N9" s="10">
        <f t="shared" si="3"/>
        <v>3</v>
      </c>
      <c r="O9" s="10">
        <f t="shared" si="4"/>
        <v>5</v>
      </c>
      <c r="P9" s="10">
        <f t="shared" si="0"/>
        <v>75</v>
      </c>
      <c r="Q9" s="11"/>
    </row>
    <row r="10" spans="1:17" ht="43.2" x14ac:dyDescent="0.3">
      <c r="A10" s="1"/>
      <c r="B10" s="37"/>
      <c r="C10" s="39"/>
      <c r="D10" s="4" t="s">
        <v>47</v>
      </c>
      <c r="E10" s="11" t="s">
        <v>43</v>
      </c>
      <c r="F10" s="6">
        <v>5</v>
      </c>
      <c r="G10" s="11" t="s">
        <v>48</v>
      </c>
      <c r="H10" s="7">
        <v>3</v>
      </c>
      <c r="I10" s="11" t="s">
        <v>49</v>
      </c>
      <c r="J10" s="8">
        <v>2</v>
      </c>
      <c r="K10" s="9">
        <f t="shared" si="1"/>
        <v>30</v>
      </c>
      <c r="L10" s="11" t="s">
        <v>50</v>
      </c>
      <c r="M10" s="10">
        <f t="shared" si="2"/>
        <v>5</v>
      </c>
      <c r="N10" s="10">
        <f t="shared" si="3"/>
        <v>3</v>
      </c>
      <c r="O10" s="10">
        <f t="shared" si="4"/>
        <v>2</v>
      </c>
      <c r="P10" s="10">
        <f t="shared" si="0"/>
        <v>30</v>
      </c>
      <c r="Q10" s="11"/>
    </row>
    <row r="11" spans="1:17" ht="43.2" x14ac:dyDescent="0.3">
      <c r="A11" s="1"/>
      <c r="B11" s="37"/>
      <c r="C11" s="39"/>
      <c r="D11" s="4" t="s">
        <v>51</v>
      </c>
      <c r="E11" s="11" t="s">
        <v>43</v>
      </c>
      <c r="F11" s="6">
        <v>5</v>
      </c>
      <c r="G11" s="11" t="s">
        <v>52</v>
      </c>
      <c r="H11" s="7">
        <v>3</v>
      </c>
      <c r="I11" s="11" t="s">
        <v>53</v>
      </c>
      <c r="J11" s="8">
        <v>5</v>
      </c>
      <c r="K11" s="9">
        <f t="shared" si="1"/>
        <v>75</v>
      </c>
      <c r="L11" s="11"/>
      <c r="M11" s="10">
        <f t="shared" si="2"/>
        <v>5</v>
      </c>
      <c r="N11" s="10">
        <f t="shared" si="3"/>
        <v>3</v>
      </c>
      <c r="O11" s="10">
        <f t="shared" si="4"/>
        <v>5</v>
      </c>
      <c r="P11" s="10">
        <f t="shared" si="0"/>
        <v>75</v>
      </c>
      <c r="Q11" s="11"/>
    </row>
    <row r="12" spans="1:17" ht="43.2" x14ac:dyDescent="0.3">
      <c r="A12" s="1"/>
      <c r="B12" s="37"/>
      <c r="C12" s="39"/>
      <c r="D12" s="4" t="s">
        <v>54</v>
      </c>
      <c r="E12" s="11" t="s">
        <v>55</v>
      </c>
      <c r="F12" s="6">
        <v>5</v>
      </c>
      <c r="G12" s="11" t="s">
        <v>56</v>
      </c>
      <c r="H12" s="7">
        <v>1</v>
      </c>
      <c r="I12" s="11" t="s">
        <v>49</v>
      </c>
      <c r="J12" s="8">
        <v>1</v>
      </c>
      <c r="K12" s="9">
        <f t="shared" si="1"/>
        <v>5</v>
      </c>
      <c r="L12" s="11" t="s">
        <v>57</v>
      </c>
      <c r="M12" s="10">
        <f t="shared" si="2"/>
        <v>5</v>
      </c>
      <c r="N12" s="10">
        <f t="shared" si="3"/>
        <v>1</v>
      </c>
      <c r="O12" s="10">
        <f t="shared" si="4"/>
        <v>1</v>
      </c>
      <c r="P12" s="10">
        <f t="shared" si="0"/>
        <v>5</v>
      </c>
      <c r="Q12" s="11"/>
    </row>
    <row r="13" spans="1:17" ht="43.2" x14ac:dyDescent="0.3">
      <c r="A13" s="1"/>
      <c r="B13" s="37"/>
      <c r="C13" s="39"/>
      <c r="D13" s="4" t="s">
        <v>58</v>
      </c>
      <c r="E13" s="11" t="s">
        <v>55</v>
      </c>
      <c r="F13" s="6">
        <v>5</v>
      </c>
      <c r="G13" s="11" t="s">
        <v>59</v>
      </c>
      <c r="H13" s="7">
        <v>5</v>
      </c>
      <c r="I13" s="11" t="s">
        <v>60</v>
      </c>
      <c r="J13" s="8">
        <v>3</v>
      </c>
      <c r="K13" s="9">
        <f t="shared" si="1"/>
        <v>75</v>
      </c>
      <c r="L13" s="11" t="s">
        <v>61</v>
      </c>
      <c r="M13" s="10">
        <f t="shared" si="2"/>
        <v>5</v>
      </c>
      <c r="N13" s="10">
        <f t="shared" si="3"/>
        <v>5</v>
      </c>
      <c r="O13" s="10">
        <f t="shared" si="4"/>
        <v>3</v>
      </c>
      <c r="P13" s="10">
        <f t="shared" si="0"/>
        <v>75</v>
      </c>
      <c r="Q13" s="11"/>
    </row>
    <row r="14" spans="1:17" ht="21.6" x14ac:dyDescent="0.3">
      <c r="A14" s="1"/>
      <c r="B14" s="37"/>
      <c r="C14" s="39"/>
      <c r="D14" s="4" t="s">
        <v>62</v>
      </c>
      <c r="E14" s="11" t="s">
        <v>63</v>
      </c>
      <c r="F14" s="6">
        <v>5</v>
      </c>
      <c r="G14" s="11" t="s">
        <v>64</v>
      </c>
      <c r="H14" s="7">
        <v>3</v>
      </c>
      <c r="I14" s="11" t="s">
        <v>65</v>
      </c>
      <c r="J14" s="8">
        <v>3</v>
      </c>
      <c r="K14" s="9">
        <f t="shared" si="1"/>
        <v>45</v>
      </c>
      <c r="L14" s="11" t="s">
        <v>66</v>
      </c>
      <c r="M14" s="10">
        <f t="shared" si="2"/>
        <v>5</v>
      </c>
      <c r="N14" s="10">
        <f t="shared" si="3"/>
        <v>3</v>
      </c>
      <c r="O14" s="10">
        <f t="shared" si="4"/>
        <v>3</v>
      </c>
      <c r="P14" s="10">
        <f t="shared" si="0"/>
        <v>45</v>
      </c>
      <c r="Q14" s="11"/>
    </row>
    <row r="15" spans="1:17" ht="21.6" x14ac:dyDescent="0.3">
      <c r="A15" s="1"/>
      <c r="B15" s="37"/>
      <c r="C15" s="39"/>
      <c r="D15" s="29" t="s">
        <v>67</v>
      </c>
      <c r="E15" s="11" t="s">
        <v>68</v>
      </c>
      <c r="F15" s="6">
        <v>5</v>
      </c>
      <c r="G15" s="11" t="s">
        <v>69</v>
      </c>
      <c r="H15" s="7">
        <v>1</v>
      </c>
      <c r="I15" s="11" t="s">
        <v>70</v>
      </c>
      <c r="J15" s="8">
        <v>1</v>
      </c>
      <c r="K15" s="9">
        <f t="shared" si="1"/>
        <v>5</v>
      </c>
      <c r="L15" s="11" t="s">
        <v>66</v>
      </c>
      <c r="M15" s="10">
        <f t="shared" si="2"/>
        <v>5</v>
      </c>
      <c r="N15" s="10">
        <f t="shared" si="3"/>
        <v>1</v>
      </c>
      <c r="O15" s="10">
        <f t="shared" si="4"/>
        <v>1</v>
      </c>
      <c r="P15" s="10">
        <f t="shared" si="0"/>
        <v>5</v>
      </c>
      <c r="Q15" s="11"/>
    </row>
    <row r="16" spans="1:17" ht="21.6" x14ac:dyDescent="0.3">
      <c r="A16" s="1"/>
      <c r="B16" s="37"/>
      <c r="C16" s="39"/>
      <c r="D16" s="30" t="s">
        <v>71</v>
      </c>
      <c r="E16" s="11" t="s">
        <v>72</v>
      </c>
      <c r="F16" s="6">
        <v>7</v>
      </c>
      <c r="G16" s="11" t="s">
        <v>73</v>
      </c>
      <c r="H16" s="7">
        <v>3</v>
      </c>
      <c r="I16" s="11" t="s">
        <v>49</v>
      </c>
      <c r="J16" s="8">
        <v>5</v>
      </c>
      <c r="K16" s="9">
        <f t="shared" si="1"/>
        <v>105</v>
      </c>
      <c r="L16" s="11" t="s">
        <v>74</v>
      </c>
      <c r="M16" s="10">
        <f t="shared" si="2"/>
        <v>7</v>
      </c>
      <c r="N16" s="10">
        <f t="shared" si="3"/>
        <v>3</v>
      </c>
      <c r="O16" s="10">
        <f t="shared" si="4"/>
        <v>5</v>
      </c>
      <c r="P16" s="10">
        <f t="shared" si="0"/>
        <v>105</v>
      </c>
      <c r="Q16" s="11"/>
    </row>
    <row r="17" spans="1:17" ht="21.6" x14ac:dyDescent="0.3">
      <c r="A17" s="1"/>
      <c r="B17" s="37"/>
      <c r="C17" s="39"/>
      <c r="D17" s="30" t="s">
        <v>75</v>
      </c>
      <c r="E17" s="11" t="s">
        <v>76</v>
      </c>
      <c r="F17" s="6">
        <v>7</v>
      </c>
      <c r="G17" s="11" t="s">
        <v>77</v>
      </c>
      <c r="H17" s="7">
        <v>1</v>
      </c>
      <c r="I17" s="11" t="s">
        <v>49</v>
      </c>
      <c r="J17" s="8">
        <v>3</v>
      </c>
      <c r="K17" s="9">
        <f t="shared" si="1"/>
        <v>21</v>
      </c>
      <c r="L17" s="11"/>
      <c r="M17" s="10">
        <f t="shared" si="2"/>
        <v>7</v>
      </c>
      <c r="N17" s="10">
        <f t="shared" si="3"/>
        <v>1</v>
      </c>
      <c r="O17" s="10">
        <f t="shared" si="4"/>
        <v>3</v>
      </c>
      <c r="P17" s="10">
        <f t="shared" si="0"/>
        <v>21</v>
      </c>
      <c r="Q17" s="11"/>
    </row>
    <row r="18" spans="1:17" ht="21.6" x14ac:dyDescent="0.3">
      <c r="A18" s="1"/>
      <c r="B18" s="37"/>
      <c r="C18" s="39"/>
      <c r="D18" s="30" t="s">
        <v>78</v>
      </c>
      <c r="E18" s="11" t="s">
        <v>79</v>
      </c>
      <c r="F18" s="6">
        <v>7</v>
      </c>
      <c r="G18" s="11" t="s">
        <v>80</v>
      </c>
      <c r="H18" s="7">
        <v>1</v>
      </c>
      <c r="I18" s="11" t="s">
        <v>49</v>
      </c>
      <c r="J18" s="8">
        <v>3</v>
      </c>
      <c r="K18" s="9">
        <f t="shared" si="1"/>
        <v>21</v>
      </c>
      <c r="L18" s="11"/>
      <c r="M18" s="10">
        <f t="shared" si="2"/>
        <v>7</v>
      </c>
      <c r="N18" s="10">
        <f t="shared" si="3"/>
        <v>1</v>
      </c>
      <c r="O18" s="10">
        <f t="shared" si="4"/>
        <v>3</v>
      </c>
      <c r="P18" s="10">
        <f t="shared" si="0"/>
        <v>21</v>
      </c>
      <c r="Q18" s="11"/>
    </row>
    <row r="19" spans="1:17" ht="21.6" x14ac:dyDescent="0.3">
      <c r="A19" s="1"/>
      <c r="B19" s="37"/>
      <c r="C19" s="39"/>
      <c r="D19" s="30" t="s">
        <v>81</v>
      </c>
      <c r="E19" s="11" t="s">
        <v>82</v>
      </c>
      <c r="F19" s="6">
        <v>7</v>
      </c>
      <c r="G19" s="11" t="s">
        <v>83</v>
      </c>
      <c r="H19" s="7">
        <v>3</v>
      </c>
      <c r="I19" s="11" t="s">
        <v>84</v>
      </c>
      <c r="J19" s="8">
        <v>3</v>
      </c>
      <c r="K19" s="9">
        <f t="shared" si="1"/>
        <v>63</v>
      </c>
      <c r="L19" s="11"/>
      <c r="M19" s="10">
        <f t="shared" si="2"/>
        <v>7</v>
      </c>
      <c r="N19" s="10">
        <f t="shared" si="3"/>
        <v>3</v>
      </c>
      <c r="O19" s="10">
        <f t="shared" si="4"/>
        <v>3</v>
      </c>
      <c r="P19" s="10">
        <f t="shared" si="0"/>
        <v>63</v>
      </c>
      <c r="Q19" s="11"/>
    </row>
    <row r="20" spans="1:17" ht="43.2" x14ac:dyDescent="0.3">
      <c r="A20" s="1"/>
      <c r="B20" s="37"/>
      <c r="C20" s="39"/>
      <c r="D20" s="11" t="s">
        <v>85</v>
      </c>
      <c r="E20" s="11" t="s">
        <v>86</v>
      </c>
      <c r="F20" s="6">
        <v>5</v>
      </c>
      <c r="G20" s="11" t="s">
        <v>87</v>
      </c>
      <c r="H20" s="7">
        <v>3</v>
      </c>
      <c r="I20" s="11" t="s">
        <v>88</v>
      </c>
      <c r="J20" s="8">
        <v>3</v>
      </c>
      <c r="K20" s="9">
        <f t="shared" si="1"/>
        <v>45</v>
      </c>
      <c r="L20" s="11" t="s">
        <v>88</v>
      </c>
      <c r="M20" s="10">
        <f t="shared" si="2"/>
        <v>5</v>
      </c>
      <c r="N20" s="10">
        <f t="shared" si="3"/>
        <v>3</v>
      </c>
      <c r="O20" s="10">
        <f t="shared" si="4"/>
        <v>3</v>
      </c>
      <c r="P20" s="10">
        <f t="shared" si="0"/>
        <v>45</v>
      </c>
      <c r="Q20" s="11"/>
    </row>
    <row r="21" spans="1:17" ht="21.6" x14ac:dyDescent="0.3">
      <c r="A21" s="1"/>
      <c r="B21" s="37"/>
      <c r="C21" s="39" t="s">
        <v>89</v>
      </c>
      <c r="D21" s="11" t="s">
        <v>90</v>
      </c>
      <c r="E21" s="11" t="s">
        <v>91</v>
      </c>
      <c r="F21" s="6">
        <v>7</v>
      </c>
      <c r="G21" s="11" t="s">
        <v>92</v>
      </c>
      <c r="H21" s="7">
        <v>5</v>
      </c>
      <c r="I21" s="11" t="s">
        <v>49</v>
      </c>
      <c r="J21" s="8">
        <v>1</v>
      </c>
      <c r="K21" s="9">
        <f t="shared" si="1"/>
        <v>35</v>
      </c>
      <c r="L21" s="11" t="s">
        <v>93</v>
      </c>
      <c r="M21" s="10">
        <f t="shared" si="2"/>
        <v>7</v>
      </c>
      <c r="N21" s="10">
        <f t="shared" si="3"/>
        <v>5</v>
      </c>
      <c r="O21" s="10">
        <f t="shared" si="4"/>
        <v>1</v>
      </c>
      <c r="P21" s="10">
        <f t="shared" si="0"/>
        <v>35</v>
      </c>
      <c r="Q21" s="11"/>
    </row>
    <row r="22" spans="1:17" ht="21.6" x14ac:dyDescent="0.3">
      <c r="A22" s="1"/>
      <c r="B22" s="37"/>
      <c r="C22" s="39"/>
      <c r="D22" s="11" t="s">
        <v>94</v>
      </c>
      <c r="E22" s="11" t="s">
        <v>95</v>
      </c>
      <c r="F22" s="6">
        <v>5</v>
      </c>
      <c r="G22" s="11" t="s">
        <v>96</v>
      </c>
      <c r="H22" s="7">
        <v>1</v>
      </c>
      <c r="I22" s="11" t="s">
        <v>97</v>
      </c>
      <c r="J22" s="8">
        <v>1</v>
      </c>
      <c r="K22" s="9">
        <f t="shared" si="1"/>
        <v>5</v>
      </c>
      <c r="L22" s="11" t="s">
        <v>97</v>
      </c>
      <c r="M22" s="10">
        <f t="shared" si="2"/>
        <v>5</v>
      </c>
      <c r="N22" s="10">
        <f t="shared" si="3"/>
        <v>1</v>
      </c>
      <c r="O22" s="10">
        <f t="shared" si="4"/>
        <v>1</v>
      </c>
      <c r="P22" s="10">
        <f t="shared" si="0"/>
        <v>5</v>
      </c>
      <c r="Q22" s="11"/>
    </row>
    <row r="23" spans="1:17" ht="21.6" x14ac:dyDescent="0.3">
      <c r="A23" s="1"/>
      <c r="B23" s="37"/>
      <c r="C23" s="39"/>
      <c r="D23" s="11" t="s">
        <v>98</v>
      </c>
      <c r="E23" s="11" t="s">
        <v>91</v>
      </c>
      <c r="F23" s="6">
        <v>7</v>
      </c>
      <c r="G23" s="11" t="s">
        <v>99</v>
      </c>
      <c r="H23" s="7">
        <v>1</v>
      </c>
      <c r="I23" s="11" t="s">
        <v>49</v>
      </c>
      <c r="J23" s="8">
        <v>1</v>
      </c>
      <c r="K23" s="9">
        <f t="shared" si="1"/>
        <v>7</v>
      </c>
      <c r="L23" s="11" t="s">
        <v>66</v>
      </c>
      <c r="M23" s="10">
        <f t="shared" si="2"/>
        <v>7</v>
      </c>
      <c r="N23" s="10">
        <f t="shared" si="3"/>
        <v>1</v>
      </c>
      <c r="O23" s="10">
        <f t="shared" si="4"/>
        <v>1</v>
      </c>
      <c r="P23" s="10">
        <f t="shared" si="0"/>
        <v>7</v>
      </c>
      <c r="Q23" s="11"/>
    </row>
    <row r="24" spans="1:17" ht="43.2" x14ac:dyDescent="0.3">
      <c r="A24" s="1"/>
      <c r="B24" s="37"/>
      <c r="C24" s="39"/>
      <c r="D24" s="11" t="s">
        <v>100</v>
      </c>
      <c r="E24" s="11" t="s">
        <v>101</v>
      </c>
      <c r="F24" s="6">
        <v>7</v>
      </c>
      <c r="G24" s="11" t="s">
        <v>102</v>
      </c>
      <c r="H24" s="7">
        <v>3</v>
      </c>
      <c r="I24" s="11" t="s">
        <v>103</v>
      </c>
      <c r="J24" s="8">
        <v>1</v>
      </c>
      <c r="K24" s="9">
        <f t="shared" si="1"/>
        <v>21</v>
      </c>
      <c r="L24" s="11"/>
      <c r="M24" s="10">
        <f t="shared" si="2"/>
        <v>7</v>
      </c>
      <c r="N24" s="10">
        <f t="shared" si="3"/>
        <v>3</v>
      </c>
      <c r="O24" s="10">
        <f t="shared" si="4"/>
        <v>1</v>
      </c>
      <c r="P24" s="10">
        <f t="shared" si="0"/>
        <v>21</v>
      </c>
      <c r="Q24" s="11"/>
    </row>
    <row r="25" spans="1:17" ht="21.6" x14ac:dyDescent="0.3">
      <c r="A25" s="1"/>
      <c r="B25" s="37"/>
      <c r="C25" s="39"/>
      <c r="D25" s="20" t="s">
        <v>104</v>
      </c>
      <c r="E25" s="11" t="s">
        <v>105</v>
      </c>
      <c r="F25" s="6">
        <v>7</v>
      </c>
      <c r="G25" s="11" t="s">
        <v>106</v>
      </c>
      <c r="H25" s="7">
        <v>1</v>
      </c>
      <c r="I25" s="11" t="s">
        <v>107</v>
      </c>
      <c r="J25" s="8">
        <v>1</v>
      </c>
      <c r="K25" s="9">
        <f t="shared" si="1"/>
        <v>7</v>
      </c>
      <c r="L25" s="11"/>
      <c r="M25" s="10">
        <f t="shared" si="2"/>
        <v>7</v>
      </c>
      <c r="N25" s="10">
        <f t="shared" si="3"/>
        <v>1</v>
      </c>
      <c r="O25" s="10">
        <f t="shared" si="4"/>
        <v>1</v>
      </c>
      <c r="P25" s="10">
        <f t="shared" si="0"/>
        <v>7</v>
      </c>
      <c r="Q25" s="11"/>
    </row>
    <row r="26" spans="1:17" ht="21.6" x14ac:dyDescent="0.3">
      <c r="A26" s="1"/>
      <c r="B26" s="37"/>
      <c r="C26" s="39"/>
      <c r="D26" s="30" t="s">
        <v>71</v>
      </c>
      <c r="E26" s="11" t="s">
        <v>108</v>
      </c>
      <c r="F26" s="6">
        <v>7</v>
      </c>
      <c r="G26" s="11" t="s">
        <v>73</v>
      </c>
      <c r="H26" s="7">
        <v>3</v>
      </c>
      <c r="I26" s="11" t="s">
        <v>49</v>
      </c>
      <c r="J26" s="8">
        <v>5</v>
      </c>
      <c r="K26" s="9">
        <f t="shared" si="1"/>
        <v>105</v>
      </c>
      <c r="L26" s="11" t="s">
        <v>74</v>
      </c>
      <c r="M26" s="10">
        <f t="shared" si="2"/>
        <v>7</v>
      </c>
      <c r="N26" s="10">
        <f t="shared" si="3"/>
        <v>3</v>
      </c>
      <c r="O26" s="10">
        <f t="shared" si="4"/>
        <v>5</v>
      </c>
      <c r="P26" s="10">
        <f t="shared" si="0"/>
        <v>105</v>
      </c>
      <c r="Q26" s="11"/>
    </row>
    <row r="27" spans="1:17" ht="21.6" x14ac:dyDescent="0.3">
      <c r="A27" s="1"/>
      <c r="B27" s="37"/>
      <c r="C27" s="39" t="s">
        <v>109</v>
      </c>
      <c r="D27" s="11" t="s">
        <v>110</v>
      </c>
      <c r="E27" s="11" t="s">
        <v>111</v>
      </c>
      <c r="F27" s="6">
        <v>7</v>
      </c>
      <c r="G27" s="11" t="s">
        <v>112</v>
      </c>
      <c r="H27" s="7">
        <v>5</v>
      </c>
      <c r="I27" s="11" t="s">
        <v>113</v>
      </c>
      <c r="J27" s="8">
        <v>3</v>
      </c>
      <c r="K27" s="9">
        <f t="shared" si="1"/>
        <v>105</v>
      </c>
      <c r="L27" s="11"/>
      <c r="M27" s="10">
        <f t="shared" si="2"/>
        <v>7</v>
      </c>
      <c r="N27" s="10">
        <f t="shared" si="3"/>
        <v>5</v>
      </c>
      <c r="O27" s="10">
        <f t="shared" si="4"/>
        <v>3</v>
      </c>
      <c r="P27" s="10">
        <f t="shared" si="0"/>
        <v>105</v>
      </c>
      <c r="Q27" s="11"/>
    </row>
    <row r="28" spans="1:17" ht="21.6" x14ac:dyDescent="0.3">
      <c r="A28" s="1"/>
      <c r="B28" s="37"/>
      <c r="C28" s="39"/>
      <c r="D28" s="11" t="s">
        <v>114</v>
      </c>
      <c r="E28" s="11" t="s">
        <v>111</v>
      </c>
      <c r="F28" s="6">
        <v>7</v>
      </c>
      <c r="G28" s="11" t="s">
        <v>115</v>
      </c>
      <c r="H28" s="7">
        <v>1</v>
      </c>
      <c r="I28" s="11" t="s">
        <v>113</v>
      </c>
      <c r="J28" s="8">
        <v>1</v>
      </c>
      <c r="K28" s="9">
        <f t="shared" si="1"/>
        <v>7</v>
      </c>
      <c r="L28" s="11"/>
      <c r="M28" s="10">
        <f t="shared" si="2"/>
        <v>7</v>
      </c>
      <c r="N28" s="10">
        <f t="shared" si="3"/>
        <v>1</v>
      </c>
      <c r="O28" s="10">
        <f t="shared" si="4"/>
        <v>1</v>
      </c>
      <c r="P28" s="10">
        <f t="shared" si="0"/>
        <v>7</v>
      </c>
      <c r="Q28" s="11"/>
    </row>
    <row r="29" spans="1:17" ht="21.6" x14ac:dyDescent="0.3">
      <c r="A29" s="1"/>
      <c r="B29" s="37"/>
      <c r="C29" s="39"/>
      <c r="D29" s="11" t="s">
        <v>94</v>
      </c>
      <c r="E29" s="11" t="s">
        <v>111</v>
      </c>
      <c r="F29" s="6">
        <v>7</v>
      </c>
      <c r="G29" s="11" t="s">
        <v>96</v>
      </c>
      <c r="H29" s="7">
        <v>5</v>
      </c>
      <c r="I29" s="11" t="s">
        <v>116</v>
      </c>
      <c r="J29" s="8">
        <v>1</v>
      </c>
      <c r="K29" s="9">
        <f t="shared" si="1"/>
        <v>35</v>
      </c>
      <c r="L29" s="11" t="s">
        <v>117</v>
      </c>
      <c r="M29" s="10">
        <f t="shared" si="2"/>
        <v>7</v>
      </c>
      <c r="N29" s="10">
        <f t="shared" si="3"/>
        <v>5</v>
      </c>
      <c r="O29" s="10">
        <f t="shared" si="4"/>
        <v>1</v>
      </c>
      <c r="P29" s="10">
        <f t="shared" si="0"/>
        <v>35</v>
      </c>
      <c r="Q29" s="11"/>
    </row>
    <row r="30" spans="1:17" ht="21.6" x14ac:dyDescent="0.3">
      <c r="A30" s="1"/>
      <c r="B30" s="38"/>
      <c r="C30" s="39"/>
      <c r="D30" s="11"/>
      <c r="E30" s="11"/>
      <c r="F30" s="6"/>
      <c r="G30" s="11"/>
      <c r="H30" s="7"/>
      <c r="I30" s="11"/>
      <c r="J30" s="8"/>
      <c r="K30" s="9">
        <f t="shared" si="1"/>
        <v>0</v>
      </c>
      <c r="L30" s="11"/>
      <c r="M30" s="10">
        <f t="shared" si="2"/>
        <v>0</v>
      </c>
      <c r="N30" s="10">
        <f t="shared" si="3"/>
        <v>0</v>
      </c>
      <c r="O30" s="10">
        <f t="shared" si="4"/>
        <v>0</v>
      </c>
      <c r="P30" s="10">
        <f t="shared" si="0"/>
        <v>0</v>
      </c>
      <c r="Q30" s="11"/>
    </row>
    <row r="31" spans="1:17" ht="43.2" x14ac:dyDescent="0.3">
      <c r="A31" s="1"/>
      <c r="B31" s="33" t="s">
        <v>118</v>
      </c>
      <c r="C31" s="33" t="s">
        <v>119</v>
      </c>
      <c r="D31" s="28" t="s">
        <v>120</v>
      </c>
      <c r="E31" s="11" t="s">
        <v>121</v>
      </c>
      <c r="F31" s="6">
        <v>7</v>
      </c>
      <c r="G31" s="20" t="s">
        <v>122</v>
      </c>
      <c r="H31" s="7">
        <v>5</v>
      </c>
      <c r="I31" s="11" t="s">
        <v>123</v>
      </c>
      <c r="J31" s="8">
        <v>5</v>
      </c>
      <c r="K31" s="9">
        <f t="shared" si="1"/>
        <v>175</v>
      </c>
      <c r="L31" s="11" t="s">
        <v>124</v>
      </c>
      <c r="M31" s="10">
        <f t="shared" si="2"/>
        <v>7</v>
      </c>
      <c r="N31" s="10">
        <f t="shared" si="3"/>
        <v>5</v>
      </c>
      <c r="O31" s="10">
        <f t="shared" si="4"/>
        <v>5</v>
      </c>
      <c r="P31" s="10">
        <f t="shared" si="0"/>
        <v>175</v>
      </c>
      <c r="Q31" s="11"/>
    </row>
    <row r="32" spans="1:17" ht="21.6" x14ac:dyDescent="0.3">
      <c r="A32" s="1"/>
      <c r="B32" s="34"/>
      <c r="C32" s="34"/>
      <c r="D32" s="28" t="s">
        <v>125</v>
      </c>
      <c r="E32" s="11" t="s">
        <v>121</v>
      </c>
      <c r="F32" s="6">
        <v>7</v>
      </c>
      <c r="G32" s="20" t="s">
        <v>126</v>
      </c>
      <c r="H32" s="7">
        <v>1</v>
      </c>
      <c r="I32" s="11" t="s">
        <v>127</v>
      </c>
      <c r="J32" s="8">
        <v>3</v>
      </c>
      <c r="K32" s="9">
        <f t="shared" si="1"/>
        <v>21</v>
      </c>
      <c r="L32" s="4"/>
      <c r="M32" s="10">
        <f t="shared" si="2"/>
        <v>7</v>
      </c>
      <c r="N32" s="10">
        <f t="shared" si="3"/>
        <v>1</v>
      </c>
      <c r="O32" s="10">
        <f t="shared" si="4"/>
        <v>3</v>
      </c>
      <c r="P32" s="10">
        <f t="shared" si="0"/>
        <v>21</v>
      </c>
      <c r="Q32" s="11"/>
    </row>
    <row r="33" spans="1:71" s="14" customFormat="1" ht="43.2" x14ac:dyDescent="0.3">
      <c r="A33" s="1"/>
      <c r="B33" s="34"/>
      <c r="C33" s="34"/>
      <c r="D33" s="28" t="s">
        <v>128</v>
      </c>
      <c r="E33" s="11" t="s">
        <v>129</v>
      </c>
      <c r="F33" s="6">
        <v>3</v>
      </c>
      <c r="G33" s="11" t="s">
        <v>130</v>
      </c>
      <c r="H33" s="7">
        <v>1</v>
      </c>
      <c r="I33" s="11" t="s">
        <v>131</v>
      </c>
      <c r="J33" s="8">
        <v>1</v>
      </c>
      <c r="K33" s="9">
        <f t="shared" si="1"/>
        <v>3</v>
      </c>
      <c r="L33" s="4" t="s">
        <v>132</v>
      </c>
      <c r="M33" s="10">
        <f t="shared" si="2"/>
        <v>3</v>
      </c>
      <c r="N33" s="10">
        <f t="shared" si="3"/>
        <v>1</v>
      </c>
      <c r="O33" s="10">
        <f t="shared" si="4"/>
        <v>1</v>
      </c>
      <c r="P33" s="10">
        <f t="shared" si="0"/>
        <v>3</v>
      </c>
      <c r="Q33" s="5"/>
      <c r="R33" s="13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</row>
    <row r="34" spans="1:71" s="14" customFormat="1" ht="42.75" customHeight="1" x14ac:dyDescent="0.3">
      <c r="A34" s="1"/>
      <c r="B34" s="34"/>
      <c r="C34" s="34"/>
      <c r="D34" s="28" t="s">
        <v>133</v>
      </c>
      <c r="E34" s="11" t="s">
        <v>134</v>
      </c>
      <c r="F34" s="15">
        <v>5</v>
      </c>
      <c r="G34" s="11" t="s">
        <v>135</v>
      </c>
      <c r="H34" s="16">
        <v>1</v>
      </c>
      <c r="I34" s="20" t="s">
        <v>136</v>
      </c>
      <c r="J34" s="8">
        <v>1</v>
      </c>
      <c r="K34" s="9">
        <f t="shared" si="1"/>
        <v>5</v>
      </c>
      <c r="L34" s="4"/>
      <c r="M34" s="10">
        <f t="shared" si="2"/>
        <v>5</v>
      </c>
      <c r="N34" s="10">
        <f t="shared" si="3"/>
        <v>1</v>
      </c>
      <c r="O34" s="10">
        <f t="shared" si="4"/>
        <v>1</v>
      </c>
      <c r="P34" s="10">
        <f t="shared" si="0"/>
        <v>5</v>
      </c>
      <c r="Q34" s="12"/>
      <c r="R34" s="13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</row>
    <row r="35" spans="1:71" s="14" customFormat="1" ht="21.6" x14ac:dyDescent="0.3">
      <c r="A35" s="1"/>
      <c r="B35" s="34"/>
      <c r="C35" s="34"/>
      <c r="D35" s="4" t="s">
        <v>54</v>
      </c>
      <c r="E35" s="11" t="s">
        <v>137</v>
      </c>
      <c r="F35" s="15">
        <v>7</v>
      </c>
      <c r="G35" s="11" t="s">
        <v>115</v>
      </c>
      <c r="H35" s="16">
        <v>1</v>
      </c>
      <c r="I35" s="20" t="s">
        <v>136</v>
      </c>
      <c r="J35" s="17">
        <v>1</v>
      </c>
      <c r="K35" s="18">
        <f t="shared" si="1"/>
        <v>7</v>
      </c>
      <c r="L35" s="11" t="s">
        <v>57</v>
      </c>
      <c r="M35" s="10">
        <f t="shared" si="2"/>
        <v>7</v>
      </c>
      <c r="N35" s="10">
        <f t="shared" si="3"/>
        <v>1</v>
      </c>
      <c r="O35" s="10">
        <f t="shared" si="4"/>
        <v>1</v>
      </c>
      <c r="P35" s="19">
        <f t="shared" si="0"/>
        <v>7</v>
      </c>
      <c r="Q35" s="12"/>
      <c r="R35" s="13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</row>
    <row r="36" spans="1:71" s="14" customFormat="1" ht="43.2" x14ac:dyDescent="0.3">
      <c r="A36" s="1"/>
      <c r="B36" s="34"/>
      <c r="C36" s="34"/>
      <c r="D36" s="4" t="s">
        <v>58</v>
      </c>
      <c r="E36" s="11" t="s">
        <v>138</v>
      </c>
      <c r="F36" s="15">
        <v>7</v>
      </c>
      <c r="G36" s="11" t="s">
        <v>59</v>
      </c>
      <c r="H36" s="16">
        <v>5</v>
      </c>
      <c r="I36" s="11" t="s">
        <v>60</v>
      </c>
      <c r="J36" s="17">
        <v>3</v>
      </c>
      <c r="K36" s="18">
        <f t="shared" si="1"/>
        <v>105</v>
      </c>
      <c r="L36" s="20"/>
      <c r="M36" s="10">
        <f t="shared" si="2"/>
        <v>7</v>
      </c>
      <c r="N36" s="10">
        <f t="shared" si="3"/>
        <v>5</v>
      </c>
      <c r="O36" s="10">
        <f t="shared" si="4"/>
        <v>3</v>
      </c>
      <c r="P36" s="19">
        <f t="shared" si="0"/>
        <v>105</v>
      </c>
      <c r="Q36" s="12"/>
      <c r="R36" s="13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</row>
    <row r="37" spans="1:71" s="14" customFormat="1" ht="21.6" x14ac:dyDescent="0.3">
      <c r="A37" s="1"/>
      <c r="B37" s="34"/>
      <c r="C37" s="34"/>
      <c r="D37" s="4" t="s">
        <v>62</v>
      </c>
      <c r="E37" s="11" t="s">
        <v>139</v>
      </c>
      <c r="F37" s="15">
        <v>7</v>
      </c>
      <c r="G37" s="11" t="s">
        <v>64</v>
      </c>
      <c r="H37" s="16">
        <v>3</v>
      </c>
      <c r="I37" s="11" t="s">
        <v>65</v>
      </c>
      <c r="J37" s="17">
        <v>3</v>
      </c>
      <c r="K37" s="18">
        <f t="shared" si="1"/>
        <v>63</v>
      </c>
      <c r="L37" s="20"/>
      <c r="M37" s="10">
        <f t="shared" si="2"/>
        <v>7</v>
      </c>
      <c r="N37" s="10">
        <f t="shared" si="3"/>
        <v>3</v>
      </c>
      <c r="O37" s="10">
        <f t="shared" si="4"/>
        <v>3</v>
      </c>
      <c r="P37" s="19">
        <f t="shared" si="0"/>
        <v>63</v>
      </c>
      <c r="Q37" s="12"/>
      <c r="R37" s="13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</row>
    <row r="38" spans="1:71" s="14" customFormat="1" ht="21.6" x14ac:dyDescent="0.3">
      <c r="A38" s="1"/>
      <c r="B38" s="34"/>
      <c r="C38" s="34"/>
      <c r="D38" s="29" t="s">
        <v>67</v>
      </c>
      <c r="E38" s="11" t="s">
        <v>140</v>
      </c>
      <c r="F38" s="15">
        <v>7</v>
      </c>
      <c r="G38" s="11" t="s">
        <v>69</v>
      </c>
      <c r="H38" s="16">
        <v>1</v>
      </c>
      <c r="I38" s="11" t="s">
        <v>70</v>
      </c>
      <c r="J38" s="17">
        <v>1</v>
      </c>
      <c r="K38" s="18">
        <f t="shared" si="1"/>
        <v>7</v>
      </c>
      <c r="L38" s="20"/>
      <c r="M38" s="10">
        <f t="shared" si="2"/>
        <v>7</v>
      </c>
      <c r="N38" s="10">
        <f t="shared" si="3"/>
        <v>1</v>
      </c>
      <c r="O38" s="10">
        <f t="shared" si="4"/>
        <v>1</v>
      </c>
      <c r="P38" s="19">
        <f t="shared" si="0"/>
        <v>7</v>
      </c>
      <c r="Q38" s="12"/>
      <c r="R38" s="13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</row>
    <row r="39" spans="1:71" s="14" customFormat="1" ht="21.6" x14ac:dyDescent="0.3">
      <c r="A39" s="1"/>
      <c r="B39" s="34"/>
      <c r="C39" s="34"/>
      <c r="D39" s="30" t="s">
        <v>71</v>
      </c>
      <c r="E39" s="11" t="s">
        <v>141</v>
      </c>
      <c r="F39" s="6">
        <v>7</v>
      </c>
      <c r="G39" s="11" t="s">
        <v>73</v>
      </c>
      <c r="H39" s="7">
        <v>3</v>
      </c>
      <c r="I39" s="11" t="s">
        <v>49</v>
      </c>
      <c r="J39" s="8">
        <v>5</v>
      </c>
      <c r="K39" s="9">
        <f t="shared" si="1"/>
        <v>105</v>
      </c>
      <c r="L39" s="20"/>
      <c r="M39" s="10">
        <f t="shared" si="2"/>
        <v>7</v>
      </c>
      <c r="N39" s="10">
        <f t="shared" si="3"/>
        <v>3</v>
      </c>
      <c r="O39" s="10">
        <f t="shared" si="4"/>
        <v>5</v>
      </c>
      <c r="P39" s="19">
        <f t="shared" si="0"/>
        <v>105</v>
      </c>
      <c r="Q39" s="12"/>
      <c r="R39" s="13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</row>
    <row r="40" spans="1:71" s="14" customFormat="1" ht="21.6" x14ac:dyDescent="0.3">
      <c r="A40" s="1"/>
      <c r="B40" s="34"/>
      <c r="C40" s="34"/>
      <c r="D40" s="30" t="s">
        <v>75</v>
      </c>
      <c r="E40" s="11" t="s">
        <v>142</v>
      </c>
      <c r="F40" s="15">
        <v>7</v>
      </c>
      <c r="G40" s="11" t="s">
        <v>77</v>
      </c>
      <c r="H40" s="7">
        <v>1</v>
      </c>
      <c r="I40" s="11" t="s">
        <v>49</v>
      </c>
      <c r="J40" s="8">
        <v>3</v>
      </c>
      <c r="K40" s="9">
        <f t="shared" si="1"/>
        <v>21</v>
      </c>
      <c r="L40" s="20"/>
      <c r="M40" s="10">
        <f t="shared" si="2"/>
        <v>7</v>
      </c>
      <c r="N40" s="10">
        <f t="shared" si="3"/>
        <v>1</v>
      </c>
      <c r="O40" s="10">
        <f t="shared" si="4"/>
        <v>3</v>
      </c>
      <c r="P40" s="19">
        <f t="shared" si="0"/>
        <v>21</v>
      </c>
      <c r="Q40" s="12"/>
      <c r="R40" s="13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</row>
    <row r="41" spans="1:71" s="14" customFormat="1" ht="21.6" x14ac:dyDescent="0.3">
      <c r="A41" s="1"/>
      <c r="B41" s="34"/>
      <c r="C41" s="34"/>
      <c r="D41" s="30" t="s">
        <v>78</v>
      </c>
      <c r="E41" s="11" t="s">
        <v>79</v>
      </c>
      <c r="F41" s="6">
        <v>7</v>
      </c>
      <c r="G41" s="11" t="s">
        <v>80</v>
      </c>
      <c r="H41" s="7">
        <v>1</v>
      </c>
      <c r="I41" s="11" t="s">
        <v>49</v>
      </c>
      <c r="J41" s="8">
        <v>3</v>
      </c>
      <c r="K41" s="18">
        <f t="shared" si="1"/>
        <v>21</v>
      </c>
      <c r="L41" s="20"/>
      <c r="M41" s="10">
        <f t="shared" si="2"/>
        <v>7</v>
      </c>
      <c r="N41" s="10">
        <f t="shared" si="3"/>
        <v>1</v>
      </c>
      <c r="O41" s="10">
        <f t="shared" si="4"/>
        <v>3</v>
      </c>
      <c r="P41" s="19">
        <f t="shared" si="0"/>
        <v>21</v>
      </c>
      <c r="Q41" s="12"/>
      <c r="R41" s="13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</row>
    <row r="42" spans="1:71" s="14" customFormat="1" ht="21.6" x14ac:dyDescent="0.3">
      <c r="A42" s="1"/>
      <c r="B42" s="34"/>
      <c r="C42" s="34"/>
      <c r="D42" s="30" t="s">
        <v>81</v>
      </c>
      <c r="E42" s="11" t="s">
        <v>82</v>
      </c>
      <c r="F42" s="6">
        <v>7</v>
      </c>
      <c r="G42" s="11" t="s">
        <v>83</v>
      </c>
      <c r="H42" s="7">
        <v>3</v>
      </c>
      <c r="I42" s="11" t="s">
        <v>84</v>
      </c>
      <c r="J42" s="8">
        <v>3</v>
      </c>
      <c r="K42" s="18">
        <f t="shared" si="1"/>
        <v>63</v>
      </c>
      <c r="L42" s="20"/>
      <c r="M42" s="10">
        <f t="shared" si="2"/>
        <v>7</v>
      </c>
      <c r="N42" s="10">
        <f t="shared" si="3"/>
        <v>3</v>
      </c>
      <c r="O42" s="10">
        <f t="shared" si="4"/>
        <v>3</v>
      </c>
      <c r="P42" s="19">
        <f t="shared" si="0"/>
        <v>63</v>
      </c>
      <c r="Q42" s="12"/>
      <c r="R42" s="13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</row>
    <row r="43" spans="1:71" s="14" customFormat="1" ht="43.2" x14ac:dyDescent="0.3">
      <c r="A43" s="1"/>
      <c r="B43" s="34"/>
      <c r="C43" s="35"/>
      <c r="D43" s="11" t="s">
        <v>85</v>
      </c>
      <c r="E43" s="11" t="s">
        <v>86</v>
      </c>
      <c r="F43" s="6">
        <v>5</v>
      </c>
      <c r="G43" s="11" t="s">
        <v>87</v>
      </c>
      <c r="H43" s="7">
        <v>3</v>
      </c>
      <c r="I43" s="11" t="s">
        <v>88</v>
      </c>
      <c r="J43" s="8">
        <v>3</v>
      </c>
      <c r="K43" s="18">
        <f t="shared" si="1"/>
        <v>45</v>
      </c>
      <c r="L43" s="20"/>
      <c r="M43" s="10">
        <f t="shared" si="2"/>
        <v>5</v>
      </c>
      <c r="N43" s="10">
        <f t="shared" si="3"/>
        <v>3</v>
      </c>
      <c r="O43" s="10">
        <f t="shared" si="4"/>
        <v>3</v>
      </c>
      <c r="P43" s="19">
        <f t="shared" si="0"/>
        <v>45</v>
      </c>
      <c r="Q43" s="12"/>
      <c r="R43" s="13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</row>
    <row r="44" spans="1:71" s="14" customFormat="1" ht="21.6" x14ac:dyDescent="0.3">
      <c r="A44" s="1"/>
      <c r="B44" s="34"/>
      <c r="C44" s="33" t="s">
        <v>143</v>
      </c>
      <c r="D44" s="20" t="s">
        <v>58</v>
      </c>
      <c r="E44" s="20" t="s">
        <v>144</v>
      </c>
      <c r="F44" s="15">
        <v>7</v>
      </c>
      <c r="G44" s="11" t="s">
        <v>106</v>
      </c>
      <c r="H44" s="16">
        <v>1</v>
      </c>
      <c r="I44" s="11" t="s">
        <v>107</v>
      </c>
      <c r="J44" s="17">
        <v>1</v>
      </c>
      <c r="K44" s="18">
        <f t="shared" si="1"/>
        <v>7</v>
      </c>
      <c r="L44" s="20"/>
      <c r="M44" s="10">
        <f t="shared" si="2"/>
        <v>7</v>
      </c>
      <c r="N44" s="10">
        <f t="shared" si="3"/>
        <v>1</v>
      </c>
      <c r="O44" s="10">
        <f t="shared" si="4"/>
        <v>1</v>
      </c>
      <c r="P44" s="19">
        <f t="shared" si="0"/>
        <v>7</v>
      </c>
      <c r="Q44" s="12"/>
      <c r="R44" s="13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</row>
    <row r="45" spans="1:71" s="14" customFormat="1" ht="21.6" x14ac:dyDescent="0.3">
      <c r="A45" s="1"/>
      <c r="B45" s="34"/>
      <c r="C45" s="34"/>
      <c r="D45" s="20" t="s">
        <v>145</v>
      </c>
      <c r="E45" s="11" t="s">
        <v>141</v>
      </c>
      <c r="F45" s="15">
        <v>7</v>
      </c>
      <c r="G45" s="20" t="s">
        <v>146</v>
      </c>
      <c r="H45" s="16">
        <v>3</v>
      </c>
      <c r="I45" s="11" t="s">
        <v>49</v>
      </c>
      <c r="J45" s="17">
        <v>1</v>
      </c>
      <c r="K45" s="18">
        <f t="shared" si="1"/>
        <v>21</v>
      </c>
      <c r="L45" s="20"/>
      <c r="M45" s="10">
        <f t="shared" si="2"/>
        <v>7</v>
      </c>
      <c r="N45" s="10">
        <f t="shared" si="3"/>
        <v>3</v>
      </c>
      <c r="O45" s="10">
        <f t="shared" si="4"/>
        <v>1</v>
      </c>
      <c r="P45" s="19">
        <f t="shared" si="0"/>
        <v>21</v>
      </c>
      <c r="Q45" s="12"/>
      <c r="R45" s="13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</row>
    <row r="46" spans="1:71" s="14" customFormat="1" ht="21.6" x14ac:dyDescent="0.3">
      <c r="A46" s="1"/>
      <c r="B46" s="34"/>
      <c r="C46" s="35"/>
      <c r="D46" s="20" t="s">
        <v>147</v>
      </c>
      <c r="E46" s="20" t="s">
        <v>144</v>
      </c>
      <c r="F46" s="15">
        <v>5</v>
      </c>
      <c r="G46" s="20" t="s">
        <v>148</v>
      </c>
      <c r="H46" s="16">
        <v>3</v>
      </c>
      <c r="I46" s="20" t="s">
        <v>149</v>
      </c>
      <c r="J46" s="17">
        <v>5</v>
      </c>
      <c r="K46" s="18">
        <f t="shared" si="1"/>
        <v>75</v>
      </c>
      <c r="L46" s="20"/>
      <c r="M46" s="10">
        <f t="shared" si="2"/>
        <v>5</v>
      </c>
      <c r="N46" s="10">
        <f t="shared" si="3"/>
        <v>3</v>
      </c>
      <c r="O46" s="10">
        <f t="shared" si="4"/>
        <v>5</v>
      </c>
      <c r="P46" s="19">
        <f t="shared" si="0"/>
        <v>75</v>
      </c>
      <c r="Q46" s="12"/>
      <c r="R46" s="13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</row>
    <row r="47" spans="1:71" s="14" customFormat="1" ht="21.6" x14ac:dyDescent="0.3">
      <c r="A47" s="1"/>
      <c r="B47" s="34"/>
      <c r="C47" s="33" t="s">
        <v>150</v>
      </c>
      <c r="D47" s="20" t="s">
        <v>58</v>
      </c>
      <c r="E47" s="26" t="s">
        <v>151</v>
      </c>
      <c r="F47" s="15">
        <v>7</v>
      </c>
      <c r="G47" s="11" t="s">
        <v>106</v>
      </c>
      <c r="H47" s="7">
        <v>1</v>
      </c>
      <c r="I47" s="11" t="s">
        <v>107</v>
      </c>
      <c r="J47" s="8">
        <v>1</v>
      </c>
      <c r="K47" s="9">
        <f t="shared" si="1"/>
        <v>7</v>
      </c>
      <c r="L47" s="20"/>
      <c r="M47" s="10">
        <f t="shared" si="2"/>
        <v>7</v>
      </c>
      <c r="N47" s="10">
        <f t="shared" si="3"/>
        <v>1</v>
      </c>
      <c r="O47" s="10">
        <f t="shared" si="4"/>
        <v>1</v>
      </c>
      <c r="P47" s="19">
        <f t="shared" si="0"/>
        <v>7</v>
      </c>
      <c r="Q47" s="12"/>
      <c r="R47" s="13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</row>
    <row r="48" spans="1:71" s="14" customFormat="1" ht="21.6" x14ac:dyDescent="0.3">
      <c r="A48" s="1"/>
      <c r="B48" s="34"/>
      <c r="C48" s="34"/>
      <c r="D48" s="26" t="s">
        <v>98</v>
      </c>
      <c r="E48" s="26" t="s">
        <v>151</v>
      </c>
      <c r="F48" s="15">
        <v>7</v>
      </c>
      <c r="G48" s="11" t="s">
        <v>99</v>
      </c>
      <c r="H48" s="7">
        <v>1</v>
      </c>
      <c r="I48" s="11" t="s">
        <v>49</v>
      </c>
      <c r="J48" s="8">
        <v>1</v>
      </c>
      <c r="K48" s="9">
        <f t="shared" si="1"/>
        <v>7</v>
      </c>
      <c r="L48" s="11" t="s">
        <v>66</v>
      </c>
      <c r="M48" s="10">
        <f t="shared" si="2"/>
        <v>7</v>
      </c>
      <c r="N48" s="10">
        <f t="shared" si="3"/>
        <v>1</v>
      </c>
      <c r="O48" s="10">
        <f t="shared" si="4"/>
        <v>1</v>
      </c>
      <c r="P48" s="19">
        <f t="shared" si="0"/>
        <v>7</v>
      </c>
      <c r="Q48" s="12"/>
      <c r="R48" s="13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</row>
    <row r="49" spans="1:71" s="14" customFormat="1" ht="21.6" x14ac:dyDescent="0.3">
      <c r="A49" s="1"/>
      <c r="B49" s="34"/>
      <c r="C49" s="34"/>
      <c r="D49" s="26" t="s">
        <v>145</v>
      </c>
      <c r="E49" s="11" t="s">
        <v>141</v>
      </c>
      <c r="F49" s="15">
        <v>7</v>
      </c>
      <c r="G49" s="20" t="s">
        <v>146</v>
      </c>
      <c r="H49" s="16">
        <v>3</v>
      </c>
      <c r="I49" s="11" t="s">
        <v>49</v>
      </c>
      <c r="J49" s="17">
        <v>1</v>
      </c>
      <c r="K49" s="18">
        <f t="shared" si="1"/>
        <v>21</v>
      </c>
      <c r="L49" s="20"/>
      <c r="M49" s="10">
        <f t="shared" si="2"/>
        <v>7</v>
      </c>
      <c r="N49" s="10">
        <f t="shared" si="3"/>
        <v>3</v>
      </c>
      <c r="O49" s="10">
        <f t="shared" si="4"/>
        <v>1</v>
      </c>
      <c r="P49" s="19">
        <f t="shared" si="0"/>
        <v>21</v>
      </c>
      <c r="Q49" s="12"/>
      <c r="R49" s="13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</row>
    <row r="50" spans="1:71" s="14" customFormat="1" ht="21.6" x14ac:dyDescent="0.3">
      <c r="A50" s="1"/>
      <c r="B50" s="34"/>
      <c r="C50" s="34"/>
      <c r="D50" s="26" t="s">
        <v>94</v>
      </c>
      <c r="E50" s="26" t="s">
        <v>152</v>
      </c>
      <c r="F50" s="15">
        <v>7</v>
      </c>
      <c r="G50" s="11" t="s">
        <v>96</v>
      </c>
      <c r="H50" s="7">
        <v>5</v>
      </c>
      <c r="I50" s="11" t="s">
        <v>116</v>
      </c>
      <c r="J50" s="17">
        <v>1</v>
      </c>
      <c r="K50" s="18">
        <f t="shared" si="1"/>
        <v>35</v>
      </c>
      <c r="L50" s="20"/>
      <c r="M50" s="10">
        <f t="shared" si="2"/>
        <v>7</v>
      </c>
      <c r="N50" s="10">
        <f t="shared" si="3"/>
        <v>5</v>
      </c>
      <c r="O50" s="10">
        <f t="shared" si="4"/>
        <v>1</v>
      </c>
      <c r="P50" s="19">
        <f t="shared" si="0"/>
        <v>35</v>
      </c>
      <c r="Q50" s="12"/>
      <c r="R50" s="1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</row>
    <row r="51" spans="1:71" s="14" customFormat="1" ht="21.6" x14ac:dyDescent="0.3">
      <c r="A51" s="1"/>
      <c r="B51" s="34"/>
      <c r="C51" s="35"/>
      <c r="D51" s="26" t="s">
        <v>153</v>
      </c>
      <c r="E51" s="11" t="s">
        <v>129</v>
      </c>
      <c r="F51" s="6">
        <v>3</v>
      </c>
      <c r="G51" s="11" t="s">
        <v>130</v>
      </c>
      <c r="H51" s="7">
        <v>1</v>
      </c>
      <c r="I51" s="11" t="s">
        <v>131</v>
      </c>
      <c r="J51" s="8">
        <v>1</v>
      </c>
      <c r="K51" s="9">
        <f t="shared" si="1"/>
        <v>3</v>
      </c>
      <c r="L51" s="20"/>
      <c r="M51" s="10">
        <f t="shared" si="2"/>
        <v>3</v>
      </c>
      <c r="N51" s="10">
        <f t="shared" si="3"/>
        <v>1</v>
      </c>
      <c r="O51" s="10">
        <f t="shared" si="4"/>
        <v>1</v>
      </c>
      <c r="P51" s="19">
        <f t="shared" si="0"/>
        <v>3</v>
      </c>
      <c r="Q51" s="12"/>
      <c r="R51" s="1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</row>
    <row r="52" spans="1:71" s="14" customFormat="1" ht="21.6" x14ac:dyDescent="0.3">
      <c r="A52" s="1"/>
      <c r="B52" s="34"/>
      <c r="C52" s="33" t="s">
        <v>154</v>
      </c>
      <c r="D52" s="11" t="s">
        <v>110</v>
      </c>
      <c r="E52" s="11" t="s">
        <v>111</v>
      </c>
      <c r="F52" s="6">
        <v>7</v>
      </c>
      <c r="G52" s="11" t="s">
        <v>112</v>
      </c>
      <c r="H52" s="7">
        <v>5</v>
      </c>
      <c r="I52" s="11" t="s">
        <v>113</v>
      </c>
      <c r="J52" s="8">
        <v>3</v>
      </c>
      <c r="K52" s="9">
        <f t="shared" si="1"/>
        <v>105</v>
      </c>
      <c r="L52" s="11"/>
      <c r="M52" s="10">
        <f t="shared" si="2"/>
        <v>7</v>
      </c>
      <c r="N52" s="10">
        <f t="shared" si="3"/>
        <v>5</v>
      </c>
      <c r="O52" s="10">
        <f t="shared" si="4"/>
        <v>3</v>
      </c>
      <c r="P52" s="19">
        <f t="shared" si="0"/>
        <v>105</v>
      </c>
      <c r="Q52" s="12"/>
      <c r="R52" s="13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</row>
    <row r="53" spans="1:71" s="14" customFormat="1" ht="21.6" x14ac:dyDescent="0.3">
      <c r="A53" s="1"/>
      <c r="B53" s="34"/>
      <c r="C53" s="34"/>
      <c r="D53" s="11" t="s">
        <v>114</v>
      </c>
      <c r="E53" s="11" t="s">
        <v>111</v>
      </c>
      <c r="F53" s="6">
        <v>7</v>
      </c>
      <c r="G53" s="11" t="s">
        <v>115</v>
      </c>
      <c r="H53" s="7">
        <v>1</v>
      </c>
      <c r="I53" s="11" t="s">
        <v>113</v>
      </c>
      <c r="J53" s="8">
        <v>1</v>
      </c>
      <c r="K53" s="9">
        <f t="shared" si="1"/>
        <v>7</v>
      </c>
      <c r="L53" s="11"/>
      <c r="M53" s="10">
        <f t="shared" si="2"/>
        <v>7</v>
      </c>
      <c r="N53" s="10">
        <f t="shared" si="3"/>
        <v>1</v>
      </c>
      <c r="O53" s="10">
        <f t="shared" si="4"/>
        <v>1</v>
      </c>
      <c r="P53" s="19">
        <f t="shared" si="0"/>
        <v>7</v>
      </c>
      <c r="Q53" s="12"/>
      <c r="R53" s="1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</row>
    <row r="54" spans="1:71" s="14" customFormat="1" ht="21.6" x14ac:dyDescent="0.3">
      <c r="A54" s="1"/>
      <c r="B54" s="35"/>
      <c r="C54" s="35"/>
      <c r="D54" s="11" t="s">
        <v>94</v>
      </c>
      <c r="E54" s="11" t="s">
        <v>111</v>
      </c>
      <c r="F54" s="6">
        <v>7</v>
      </c>
      <c r="G54" s="11" t="s">
        <v>96</v>
      </c>
      <c r="H54" s="7">
        <v>5</v>
      </c>
      <c r="I54" s="11" t="s">
        <v>116</v>
      </c>
      <c r="J54" s="8">
        <v>1</v>
      </c>
      <c r="K54" s="9">
        <f t="shared" si="1"/>
        <v>35</v>
      </c>
      <c r="L54" s="11" t="s">
        <v>117</v>
      </c>
      <c r="M54" s="10">
        <f t="shared" si="2"/>
        <v>7</v>
      </c>
      <c r="N54" s="10">
        <f t="shared" si="3"/>
        <v>5</v>
      </c>
      <c r="O54" s="10">
        <f t="shared" si="4"/>
        <v>1</v>
      </c>
      <c r="P54" s="19">
        <f t="shared" si="0"/>
        <v>35</v>
      </c>
      <c r="Q54" s="12"/>
      <c r="R54" s="1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</row>
    <row r="55" spans="1:71" ht="21.6" x14ac:dyDescent="0.3">
      <c r="D55" s="31"/>
      <c r="E55" s="31"/>
      <c r="G55" s="31"/>
    </row>
    <row r="56" spans="1:71" ht="21" x14ac:dyDescent="0.3">
      <c r="B56" s="27"/>
      <c r="C56" s="32"/>
      <c r="D56" s="27"/>
      <c r="E56" s="27"/>
      <c r="F56" s="21"/>
      <c r="G56" s="27"/>
      <c r="H56" s="22"/>
      <c r="I56" s="27"/>
      <c r="J56" s="21"/>
      <c r="K56" s="21"/>
      <c r="L56" s="27"/>
      <c r="M56" s="21"/>
      <c r="N56" s="21"/>
      <c r="O56" s="21"/>
      <c r="P56" s="21"/>
      <c r="Q56" s="21"/>
    </row>
    <row r="57" spans="1:71" ht="21" x14ac:dyDescent="0.3">
      <c r="B57" s="27"/>
      <c r="C57" s="32"/>
      <c r="D57" s="27"/>
      <c r="E57" s="27"/>
      <c r="F57" s="21"/>
      <c r="G57" s="27"/>
      <c r="H57" s="22"/>
      <c r="I57" s="27"/>
      <c r="J57" s="21"/>
      <c r="K57" s="21"/>
      <c r="L57" s="27"/>
      <c r="M57" s="21"/>
      <c r="N57" s="21"/>
      <c r="O57" s="21"/>
      <c r="P57" s="21"/>
      <c r="Q57" s="21"/>
    </row>
    <row r="58" spans="1:71" ht="21" x14ac:dyDescent="0.3">
      <c r="B58" s="27"/>
      <c r="C58" s="32"/>
      <c r="D58" s="27"/>
      <c r="E58" s="27"/>
      <c r="F58" s="21"/>
      <c r="G58" s="27"/>
      <c r="H58" s="21"/>
      <c r="I58" s="27"/>
      <c r="J58" s="21"/>
      <c r="K58" s="21"/>
      <c r="L58" s="27"/>
      <c r="M58" s="21"/>
      <c r="N58" s="21"/>
      <c r="O58" s="21"/>
      <c r="P58" s="21"/>
      <c r="Q58" s="21"/>
    </row>
    <row r="59" spans="1:71" ht="21" x14ac:dyDescent="0.3">
      <c r="B59" s="27"/>
      <c r="C59" s="27"/>
      <c r="D59" s="27"/>
      <c r="E59" s="27"/>
      <c r="F59" s="21"/>
      <c r="G59" s="27"/>
      <c r="H59" s="22"/>
      <c r="I59" s="27"/>
      <c r="J59" s="21"/>
      <c r="K59" s="21"/>
      <c r="L59" s="27"/>
      <c r="M59" s="21"/>
      <c r="N59" s="21"/>
      <c r="O59" s="21"/>
      <c r="P59" s="21"/>
      <c r="Q59" s="21"/>
    </row>
    <row r="60" spans="1:71" ht="21" x14ac:dyDescent="0.3">
      <c r="B60" s="27"/>
      <c r="C60" s="32"/>
      <c r="D60" s="27"/>
      <c r="E60" s="27"/>
      <c r="F60" s="21"/>
      <c r="G60" s="27"/>
      <c r="H60" s="22"/>
      <c r="I60" s="27"/>
      <c r="J60" s="21"/>
      <c r="K60" s="21"/>
      <c r="L60" s="27"/>
      <c r="M60" s="21"/>
      <c r="N60" s="21"/>
      <c r="O60" s="21"/>
      <c r="P60" s="21"/>
      <c r="Q60" s="21"/>
    </row>
    <row r="61" spans="1:71" ht="21" x14ac:dyDescent="0.3">
      <c r="B61" s="27"/>
      <c r="C61" s="32"/>
      <c r="D61" s="27"/>
      <c r="E61" s="27"/>
      <c r="F61" s="21"/>
      <c r="G61" s="27"/>
      <c r="H61" s="21"/>
      <c r="I61" s="27"/>
      <c r="J61" s="21"/>
      <c r="K61" s="21"/>
      <c r="L61" s="27"/>
      <c r="M61" s="21"/>
      <c r="N61" s="21"/>
      <c r="O61" s="21"/>
      <c r="P61" s="21"/>
      <c r="Q61" s="21"/>
    </row>
    <row r="62" spans="1:71" ht="21" x14ac:dyDescent="0.3">
      <c r="B62" s="27"/>
      <c r="C62" s="32"/>
      <c r="D62" s="27"/>
      <c r="E62" s="27"/>
      <c r="F62" s="21"/>
      <c r="G62" s="27"/>
      <c r="H62" s="21"/>
      <c r="I62" s="27"/>
      <c r="J62" s="21"/>
      <c r="K62" s="21"/>
      <c r="L62" s="27"/>
      <c r="M62" s="21"/>
      <c r="N62" s="21"/>
      <c r="O62" s="21"/>
      <c r="P62" s="21"/>
      <c r="Q62" s="21"/>
    </row>
    <row r="63" spans="1:71" ht="21" x14ac:dyDescent="0.3">
      <c r="B63" s="27"/>
      <c r="C63" s="32"/>
      <c r="D63" s="27"/>
      <c r="E63" s="27"/>
      <c r="F63" s="21"/>
      <c r="G63" s="27"/>
      <c r="H63" s="21"/>
      <c r="I63" s="27"/>
      <c r="J63" s="21"/>
      <c r="K63" s="21"/>
      <c r="L63" s="27"/>
      <c r="M63" s="21"/>
      <c r="N63" s="21"/>
      <c r="O63" s="21"/>
      <c r="P63" s="21"/>
      <c r="Q63" s="21"/>
    </row>
    <row r="64" spans="1:71" ht="21" x14ac:dyDescent="0.3">
      <c r="B64" s="27"/>
      <c r="C64" s="32"/>
      <c r="D64" s="27"/>
      <c r="E64" s="27"/>
      <c r="F64" s="21"/>
      <c r="G64" s="27"/>
      <c r="H64" s="21"/>
      <c r="I64" s="27"/>
      <c r="J64" s="21"/>
      <c r="K64" s="21"/>
      <c r="L64" s="27"/>
      <c r="M64" s="21"/>
      <c r="N64" s="21"/>
      <c r="O64" s="21"/>
      <c r="P64" s="21"/>
      <c r="Q64" s="21"/>
    </row>
    <row r="65" spans="2:21" ht="23.4" x14ac:dyDescent="0.3">
      <c r="C65" s="32"/>
      <c r="D65" s="27"/>
      <c r="E65" s="27"/>
      <c r="F65" s="21"/>
      <c r="G65" s="27"/>
      <c r="H65" s="21"/>
      <c r="I65" s="27"/>
      <c r="J65" s="21"/>
      <c r="K65" s="21"/>
      <c r="L65" s="27"/>
      <c r="M65" s="21"/>
      <c r="N65" s="21"/>
      <c r="O65" s="21"/>
      <c r="P65" s="21"/>
      <c r="Q65" s="21"/>
      <c r="U65" s="23" t="s">
        <v>155</v>
      </c>
    </row>
    <row r="66" spans="2:21" ht="21" x14ac:dyDescent="0.3">
      <c r="B66" s="27"/>
      <c r="C66" s="32"/>
      <c r="D66" s="27"/>
      <c r="E66" s="27"/>
      <c r="F66" s="21"/>
      <c r="G66" s="27"/>
      <c r="H66" s="21"/>
      <c r="I66" s="27"/>
      <c r="J66" s="21"/>
      <c r="K66" s="21"/>
      <c r="L66" s="27"/>
      <c r="M66" s="21"/>
      <c r="N66" s="21"/>
      <c r="O66" s="21"/>
      <c r="P66" s="21"/>
      <c r="Q66" s="21"/>
    </row>
    <row r="67" spans="2:21" ht="21" x14ac:dyDescent="0.3">
      <c r="B67" s="27"/>
      <c r="C67" s="27"/>
      <c r="D67" s="27"/>
      <c r="E67" s="27"/>
      <c r="F67" s="21"/>
      <c r="G67" s="27"/>
      <c r="H67" s="21"/>
      <c r="I67" s="27"/>
      <c r="J67" s="21"/>
      <c r="K67" s="21"/>
      <c r="L67" s="27"/>
      <c r="M67" s="21"/>
      <c r="N67" s="21"/>
      <c r="O67" s="21"/>
      <c r="P67" s="21"/>
      <c r="Q67" s="21"/>
    </row>
    <row r="68" spans="2:21" ht="21" x14ac:dyDescent="0.3">
      <c r="B68" s="27"/>
      <c r="C68" s="32"/>
      <c r="D68" s="27"/>
      <c r="E68" s="27"/>
      <c r="F68" s="21"/>
      <c r="G68" s="27"/>
      <c r="H68" s="21"/>
      <c r="I68" s="27"/>
      <c r="J68" s="21"/>
      <c r="K68" s="21"/>
      <c r="L68" s="27"/>
      <c r="M68" s="21"/>
      <c r="N68" s="21"/>
      <c r="O68" s="21"/>
      <c r="P68" s="21"/>
      <c r="Q68" s="21"/>
    </row>
    <row r="69" spans="2:21" ht="21" x14ac:dyDescent="0.3">
      <c r="B69" s="27"/>
      <c r="C69" s="32"/>
      <c r="D69" s="27"/>
      <c r="E69" s="27"/>
      <c r="F69" s="21"/>
      <c r="G69" s="27"/>
      <c r="H69" s="21"/>
      <c r="I69" s="27"/>
      <c r="J69" s="21"/>
      <c r="K69" s="21"/>
      <c r="L69" s="27"/>
      <c r="M69" s="21"/>
      <c r="N69" s="21"/>
      <c r="O69" s="21"/>
      <c r="P69" s="21"/>
      <c r="Q69" s="21"/>
    </row>
    <row r="70" spans="2:21" ht="21" x14ac:dyDescent="0.3">
      <c r="B70" s="27"/>
      <c r="C70" s="32"/>
      <c r="D70" s="27"/>
      <c r="E70" s="27"/>
      <c r="F70" s="21"/>
      <c r="G70" s="27"/>
      <c r="H70" s="21"/>
      <c r="I70" s="27"/>
      <c r="J70" s="21"/>
      <c r="K70" s="21"/>
      <c r="L70" s="27"/>
      <c r="M70" s="21"/>
      <c r="N70" s="21"/>
      <c r="O70" s="21"/>
      <c r="P70" s="21"/>
      <c r="Q70" s="21"/>
    </row>
    <row r="71" spans="2:21" ht="21" x14ac:dyDescent="0.3">
      <c r="B71" s="27"/>
      <c r="C71" s="32"/>
      <c r="D71" s="27"/>
      <c r="E71" s="27"/>
      <c r="F71" s="21"/>
      <c r="G71" s="27"/>
      <c r="H71" s="21"/>
      <c r="I71" s="27"/>
      <c r="J71" s="21"/>
      <c r="K71" s="21"/>
      <c r="L71" s="27"/>
      <c r="M71" s="21"/>
      <c r="N71" s="21"/>
      <c r="O71" s="21"/>
      <c r="P71" s="21"/>
      <c r="Q71" s="21"/>
    </row>
    <row r="72" spans="2:21" ht="21" x14ac:dyDescent="0.3">
      <c r="B72" s="27"/>
      <c r="C72" s="32"/>
      <c r="D72" s="27"/>
      <c r="E72" s="27"/>
      <c r="F72" s="1"/>
      <c r="G72" s="27"/>
      <c r="H72" s="1"/>
      <c r="I72" s="27"/>
      <c r="J72" s="1"/>
      <c r="K72" s="1"/>
      <c r="L72" s="27"/>
      <c r="M72" s="1"/>
      <c r="N72" s="1"/>
      <c r="O72" s="1"/>
      <c r="P72" s="1"/>
      <c r="Q72" s="1"/>
    </row>
    <row r="73" spans="2:21" ht="21" x14ac:dyDescent="0.3">
      <c r="B73" s="27"/>
      <c r="C73" s="27"/>
      <c r="D73" s="27"/>
      <c r="E73" s="27"/>
      <c r="F73" s="1"/>
      <c r="G73" s="27"/>
      <c r="H73" s="1"/>
      <c r="I73" s="27"/>
      <c r="J73" s="1"/>
      <c r="K73" s="1"/>
      <c r="L73" s="27"/>
      <c r="M73" s="1"/>
      <c r="N73" s="1"/>
      <c r="O73" s="1"/>
      <c r="P73" s="1"/>
      <c r="Q73" s="1"/>
    </row>
    <row r="74" spans="2:21" ht="21" x14ac:dyDescent="0.3">
      <c r="B74" s="27"/>
      <c r="C74" s="27"/>
      <c r="D74" s="27"/>
      <c r="E74" s="27"/>
      <c r="F74" s="1"/>
      <c r="G74" s="27"/>
      <c r="H74" s="1"/>
      <c r="I74" s="27"/>
      <c r="J74" s="1"/>
      <c r="K74" s="1"/>
      <c r="L74" s="27"/>
      <c r="M74" s="1"/>
      <c r="N74" s="1"/>
      <c r="O74" s="1"/>
      <c r="P74" s="1"/>
      <c r="Q74" s="1"/>
    </row>
    <row r="75" spans="2:21" ht="21" x14ac:dyDescent="0.3">
      <c r="B75" s="27"/>
      <c r="C75" s="27"/>
      <c r="D75" s="27"/>
      <c r="E75" s="27"/>
      <c r="F75" s="1"/>
      <c r="G75" s="27"/>
      <c r="H75" s="1"/>
      <c r="I75" s="27"/>
      <c r="J75" s="1"/>
      <c r="K75" s="1"/>
      <c r="L75" s="27"/>
      <c r="M75" s="1"/>
      <c r="N75" s="1"/>
      <c r="O75" s="1"/>
      <c r="P75" s="1"/>
      <c r="Q75" s="1"/>
    </row>
    <row r="76" spans="2:21" ht="21" x14ac:dyDescent="0.3">
      <c r="B76" s="27"/>
      <c r="C76" s="27"/>
      <c r="D76" s="27"/>
      <c r="E76" s="27"/>
      <c r="F76" s="1"/>
      <c r="G76" s="27"/>
      <c r="H76" s="1"/>
      <c r="I76" s="27"/>
      <c r="J76" s="1"/>
      <c r="K76" s="1"/>
      <c r="L76" s="27"/>
      <c r="M76" s="1"/>
      <c r="N76" s="1"/>
      <c r="O76" s="1"/>
      <c r="P76" s="1"/>
      <c r="Q76" s="1"/>
    </row>
    <row r="77" spans="2:21" ht="21" x14ac:dyDescent="0.3">
      <c r="B77" s="27"/>
      <c r="C77" s="27"/>
      <c r="D77" s="27"/>
      <c r="E77" s="27"/>
      <c r="F77" s="1"/>
      <c r="G77" s="27"/>
      <c r="H77" s="1"/>
      <c r="I77" s="27"/>
      <c r="J77" s="1"/>
      <c r="K77" s="1"/>
      <c r="L77" s="27"/>
      <c r="M77" s="1"/>
      <c r="N77" s="1"/>
      <c r="O77" s="1"/>
      <c r="P77" s="1"/>
      <c r="Q77" s="1"/>
    </row>
    <row r="78" spans="2:21" ht="21" x14ac:dyDescent="0.3">
      <c r="B78" s="27"/>
      <c r="C78" s="27"/>
      <c r="D78" s="27"/>
      <c r="E78" s="27"/>
      <c r="F78" s="1"/>
      <c r="G78" s="27"/>
      <c r="H78" s="1"/>
      <c r="I78" s="27"/>
      <c r="J78" s="1"/>
      <c r="K78" s="1"/>
      <c r="L78" s="27"/>
      <c r="M78" s="1"/>
      <c r="N78" s="1"/>
      <c r="O78" s="1"/>
      <c r="P78" s="1"/>
      <c r="Q78" s="1"/>
    </row>
    <row r="79" spans="2:21" ht="21" x14ac:dyDescent="0.3">
      <c r="B79" s="27"/>
      <c r="C79" s="27"/>
      <c r="D79" s="27"/>
      <c r="E79" s="27"/>
      <c r="F79" s="1"/>
      <c r="G79" s="27"/>
      <c r="H79" s="1"/>
      <c r="I79" s="27"/>
      <c r="J79" s="1"/>
      <c r="K79" s="1"/>
      <c r="L79" s="27"/>
      <c r="M79" s="1"/>
      <c r="N79" s="1"/>
      <c r="O79" s="1"/>
      <c r="P79" s="1"/>
      <c r="Q79" s="1"/>
    </row>
    <row r="80" spans="2:21" ht="21" x14ac:dyDescent="0.3">
      <c r="B80" s="27"/>
      <c r="C80" s="27"/>
      <c r="D80" s="27"/>
      <c r="E80" s="27"/>
      <c r="F80" s="1"/>
      <c r="G80" s="27"/>
      <c r="H80" s="1"/>
      <c r="I80" s="27"/>
      <c r="J80" s="1"/>
      <c r="K80" s="1"/>
      <c r="L80" s="27"/>
      <c r="M80" s="1"/>
      <c r="N80" s="1"/>
      <c r="O80" s="1"/>
      <c r="P80" s="1"/>
      <c r="Q80" s="1"/>
    </row>
    <row r="81" spans="2:17" ht="21" x14ac:dyDescent="0.3">
      <c r="B81" s="27"/>
      <c r="C81" s="27"/>
      <c r="D81" s="27"/>
      <c r="E81" s="27"/>
      <c r="F81" s="1"/>
      <c r="G81" s="27"/>
      <c r="H81" s="1"/>
      <c r="I81" s="27"/>
      <c r="J81" s="1"/>
      <c r="K81" s="1"/>
      <c r="L81" s="27"/>
      <c r="M81" s="1"/>
      <c r="N81" s="1"/>
      <c r="O81" s="1"/>
      <c r="P81" s="1"/>
      <c r="Q81" s="1"/>
    </row>
    <row r="82" spans="2:17" ht="21" x14ac:dyDescent="0.3">
      <c r="B82" s="27"/>
      <c r="C82" s="27"/>
      <c r="D82" s="27"/>
      <c r="E82" s="27"/>
      <c r="F82" s="1"/>
      <c r="G82" s="27"/>
      <c r="H82" s="1"/>
      <c r="I82" s="27"/>
      <c r="J82" s="1"/>
      <c r="K82" s="1"/>
      <c r="L82" s="27"/>
      <c r="M82" s="1"/>
      <c r="N82" s="1"/>
      <c r="O82" s="1"/>
      <c r="P82" s="1"/>
      <c r="Q82" s="1"/>
    </row>
    <row r="83" spans="2:17" ht="21" x14ac:dyDescent="0.3">
      <c r="B83" s="27"/>
      <c r="C83" s="27"/>
      <c r="D83" s="27"/>
      <c r="E83" s="27"/>
      <c r="F83" s="1"/>
      <c r="G83" s="27"/>
      <c r="H83" s="1"/>
      <c r="I83" s="27"/>
      <c r="J83" s="1"/>
      <c r="K83" s="1"/>
      <c r="L83" s="27"/>
      <c r="M83" s="1"/>
      <c r="N83" s="1"/>
      <c r="O83" s="1"/>
      <c r="P83" s="1"/>
      <c r="Q83" s="1"/>
    </row>
    <row r="84" spans="2:17" ht="21" x14ac:dyDescent="0.3">
      <c r="B84" s="27"/>
      <c r="C84" s="27"/>
      <c r="D84" s="27"/>
      <c r="E84" s="27"/>
      <c r="F84" s="1"/>
      <c r="G84" s="27"/>
      <c r="H84" s="1"/>
      <c r="I84" s="27"/>
      <c r="J84" s="1"/>
      <c r="K84" s="1"/>
      <c r="L84" s="27"/>
      <c r="M84" s="1"/>
      <c r="N84" s="1"/>
      <c r="O84" s="1"/>
      <c r="P84" s="1"/>
      <c r="Q84" s="1"/>
    </row>
  </sheetData>
  <mergeCells count="12">
    <mergeCell ref="B3:B8"/>
    <mergeCell ref="C4:C6"/>
    <mergeCell ref="C7:C8"/>
    <mergeCell ref="B9:B30"/>
    <mergeCell ref="C9:C20"/>
    <mergeCell ref="C21:C26"/>
    <mergeCell ref="C27:C30"/>
    <mergeCell ref="B31:B54"/>
    <mergeCell ref="C31:C43"/>
    <mergeCell ref="C44:C46"/>
    <mergeCell ref="C47:C51"/>
    <mergeCell ref="C52:C54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TAZMO_煥鈞</vt:lpstr>
    </vt:vector>
  </TitlesOfParts>
  <Manager/>
  <Company>itri_office 2019win64_cht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郭子熒</dc:creator>
  <cp:keywords/>
  <dc:description/>
  <cp:lastModifiedBy>顏睿禹</cp:lastModifiedBy>
  <cp:revision/>
  <dcterms:created xsi:type="dcterms:W3CDTF">2024-10-07T07:12:42Z</dcterms:created>
  <dcterms:modified xsi:type="dcterms:W3CDTF">2026-07-20T00:23:06Z</dcterms:modified>
  <cp:category/>
  <cp:contentStatus/>
</cp:coreProperties>
</file>