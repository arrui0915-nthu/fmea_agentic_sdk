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6F6F5472-67C6-442E-B2EB-681310818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_煥鈞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" i="7" l="1"/>
  <c r="N53" i="7"/>
  <c r="M53" i="7"/>
  <c r="P53" i="7" s="1"/>
  <c r="K53" i="7"/>
  <c r="P52" i="7"/>
  <c r="O52" i="7"/>
  <c r="N52" i="7"/>
  <c r="M52" i="7"/>
  <c r="K52" i="7"/>
  <c r="O51" i="7"/>
  <c r="N51" i="7"/>
  <c r="M51" i="7"/>
  <c r="P51" i="7" s="1"/>
  <c r="K51" i="7"/>
  <c r="O50" i="7"/>
  <c r="N50" i="7"/>
  <c r="P50" i="7" s="1"/>
  <c r="M50" i="7"/>
  <c r="K50" i="7"/>
  <c r="K49" i="7"/>
  <c r="K48" i="7"/>
  <c r="O47" i="7"/>
  <c r="N47" i="7"/>
  <c r="M47" i="7"/>
  <c r="P47" i="7" s="1"/>
  <c r="K47" i="7"/>
  <c r="O46" i="7"/>
  <c r="N46" i="7"/>
  <c r="P46" i="7" s="1"/>
  <c r="M46" i="7"/>
  <c r="K46" i="7"/>
  <c r="O45" i="7"/>
  <c r="P45" i="7" s="1"/>
  <c r="N45" i="7"/>
  <c r="M45" i="7"/>
  <c r="K45" i="7"/>
  <c r="O44" i="7"/>
  <c r="N44" i="7"/>
  <c r="M44" i="7"/>
  <c r="P44" i="7" s="1"/>
  <c r="P43" i="7"/>
  <c r="O43" i="7"/>
  <c r="N43" i="7"/>
  <c r="M43" i="7"/>
  <c r="K43" i="7"/>
  <c r="O42" i="7"/>
  <c r="N42" i="7"/>
  <c r="M42" i="7"/>
  <c r="P42" i="7" s="1"/>
  <c r="K42" i="7"/>
  <c r="O41" i="7"/>
  <c r="N41" i="7"/>
  <c r="P41" i="7" s="1"/>
  <c r="M41" i="7"/>
  <c r="K41" i="7"/>
  <c r="O40" i="7"/>
  <c r="P40" i="7" s="1"/>
  <c r="N40" i="7"/>
  <c r="M40" i="7"/>
  <c r="K40" i="7"/>
  <c r="O39" i="7"/>
  <c r="N39" i="7"/>
  <c r="M39" i="7"/>
  <c r="P39" i="7" s="1"/>
  <c r="K39" i="7"/>
  <c r="O38" i="7"/>
  <c r="N38" i="7"/>
  <c r="M38" i="7"/>
  <c r="P38" i="7" s="1"/>
  <c r="K38" i="7"/>
  <c r="O37" i="7"/>
  <c r="N37" i="7"/>
  <c r="M37" i="7"/>
  <c r="P37" i="7" s="1"/>
  <c r="K37" i="7"/>
  <c r="O36" i="7"/>
  <c r="P36" i="7" s="1"/>
  <c r="N36" i="7"/>
  <c r="M36" i="7"/>
  <c r="K36" i="7"/>
  <c r="P35" i="7"/>
  <c r="O35" i="7"/>
  <c r="N35" i="7"/>
  <c r="M35" i="7"/>
  <c r="O34" i="7"/>
  <c r="N34" i="7"/>
  <c r="M34" i="7"/>
  <c r="P34" i="7" s="1"/>
  <c r="P33" i="7"/>
  <c r="O33" i="7"/>
  <c r="N33" i="7"/>
  <c r="M33" i="7"/>
  <c r="K33" i="7"/>
  <c r="O32" i="7"/>
  <c r="N32" i="7"/>
  <c r="M32" i="7"/>
  <c r="P32" i="7" s="1"/>
  <c r="K32" i="7"/>
  <c r="O31" i="7"/>
  <c r="N31" i="7"/>
  <c r="P31" i="7" s="1"/>
  <c r="M31" i="7"/>
  <c r="K31" i="7"/>
  <c r="O30" i="7"/>
  <c r="P30" i="7" s="1"/>
  <c r="N30" i="7"/>
  <c r="M30" i="7"/>
  <c r="K30" i="7"/>
  <c r="O29" i="7"/>
  <c r="N29" i="7"/>
  <c r="M29" i="7"/>
  <c r="P29" i="7" s="1"/>
  <c r="K29" i="7"/>
  <c r="O28" i="7"/>
  <c r="N28" i="7"/>
  <c r="M28" i="7"/>
  <c r="P28" i="7" s="1"/>
  <c r="K28" i="7"/>
  <c r="O27" i="7"/>
  <c r="N27" i="7"/>
  <c r="M27" i="7"/>
  <c r="P27" i="7" s="1"/>
  <c r="K27" i="7"/>
  <c r="O26" i="7"/>
  <c r="P26" i="7" s="1"/>
  <c r="N26" i="7"/>
  <c r="M26" i="7"/>
  <c r="K26" i="7"/>
  <c r="P25" i="7"/>
  <c r="O25" i="7"/>
  <c r="N25" i="7"/>
  <c r="M25" i="7"/>
  <c r="K25" i="7"/>
  <c r="O24" i="7"/>
  <c r="N24" i="7"/>
  <c r="M24" i="7"/>
  <c r="P24" i="7" s="1"/>
  <c r="K24" i="7"/>
  <c r="O23" i="7"/>
  <c r="N23" i="7"/>
  <c r="P23" i="7" s="1"/>
  <c r="M23" i="7"/>
  <c r="K23" i="7"/>
  <c r="O22" i="7"/>
  <c r="N22" i="7"/>
  <c r="M22" i="7"/>
  <c r="P22" i="7" s="1"/>
  <c r="K22" i="7"/>
  <c r="P21" i="7"/>
  <c r="O21" i="7"/>
  <c r="N21" i="7"/>
  <c r="M21" i="7"/>
  <c r="K21" i="7"/>
  <c r="O20" i="7"/>
  <c r="N20" i="7"/>
  <c r="M20" i="7"/>
  <c r="P20" i="7" s="1"/>
  <c r="K20" i="7"/>
  <c r="O19" i="7"/>
  <c r="N19" i="7"/>
  <c r="P19" i="7" s="1"/>
  <c r="M19" i="7"/>
  <c r="K19" i="7"/>
  <c r="O18" i="7"/>
  <c r="P18" i="7" s="1"/>
  <c r="N18" i="7"/>
  <c r="M18" i="7"/>
  <c r="K18" i="7"/>
  <c r="O17" i="7"/>
  <c r="N17" i="7"/>
  <c r="M17" i="7"/>
  <c r="P17" i="7" s="1"/>
  <c r="K17" i="7"/>
  <c r="O16" i="7"/>
  <c r="N16" i="7"/>
  <c r="M16" i="7"/>
  <c r="P16" i="7" s="1"/>
  <c r="K16" i="7"/>
  <c r="O15" i="7"/>
  <c r="N15" i="7"/>
  <c r="M15" i="7"/>
  <c r="P15" i="7" s="1"/>
  <c r="K15" i="7"/>
  <c r="O14" i="7"/>
  <c r="P14" i="7" s="1"/>
  <c r="N14" i="7"/>
  <c r="M14" i="7"/>
  <c r="K14" i="7"/>
  <c r="P13" i="7"/>
  <c r="O13" i="7"/>
  <c r="N13" i="7"/>
  <c r="M13" i="7"/>
  <c r="K13" i="7"/>
  <c r="O12" i="7"/>
  <c r="N12" i="7"/>
  <c r="M12" i="7"/>
  <c r="P12" i="7" s="1"/>
  <c r="K12" i="7"/>
  <c r="O11" i="7"/>
  <c r="N11" i="7"/>
  <c r="P11" i="7" s="1"/>
  <c r="M11" i="7"/>
  <c r="K11" i="7"/>
  <c r="O10" i="7"/>
  <c r="N10" i="7"/>
  <c r="M10" i="7"/>
  <c r="P10" i="7" s="1"/>
  <c r="K10" i="7"/>
  <c r="P9" i="7"/>
  <c r="O9" i="7"/>
  <c r="N9" i="7"/>
  <c r="M9" i="7"/>
  <c r="K9" i="7"/>
  <c r="O8" i="7"/>
  <c r="N8" i="7"/>
  <c r="M8" i="7"/>
  <c r="P8" i="7" s="1"/>
  <c r="K8" i="7"/>
  <c r="O7" i="7"/>
  <c r="N7" i="7"/>
  <c r="P7" i="7" s="1"/>
  <c r="M7" i="7"/>
  <c r="K7" i="7"/>
  <c r="O6" i="7"/>
  <c r="P6" i="7" s="1"/>
  <c r="N6" i="7"/>
  <c r="M6" i="7"/>
  <c r="K6" i="7"/>
  <c r="O5" i="7"/>
  <c r="N5" i="7"/>
  <c r="M5" i="7"/>
  <c r="P5" i="7" s="1"/>
  <c r="P4" i="7"/>
  <c r="O4" i="7"/>
  <c r="N4" i="7"/>
  <c r="M4" i="7"/>
  <c r="K4" i="7"/>
  <c r="O3" i="7"/>
  <c r="N3" i="7"/>
  <c r="M3" i="7"/>
  <c r="P3" i="7" s="1"/>
  <c r="K3" i="7"/>
</calcChain>
</file>

<file path=xl/sharedStrings.xml><?xml version="1.0" encoding="utf-8"?>
<sst xmlns="http://schemas.openxmlformats.org/spreadsheetml/2006/main" count="311" uniqueCount="254">
  <si>
    <t>設計製程項目
(Process Design)</t>
    <phoneticPr fontId="1" type="noConversion"/>
  </si>
  <si>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</si>
  <si>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</si>
  <si>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</si>
  <si>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</si>
  <si>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</si>
  <si>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</si>
  <si>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</si>
  <si>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</si>
  <si>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</si>
  <si>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</si>
  <si>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</si>
  <si>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>機台環境Particle監測</t>
    <phoneticPr fontId="1" type="noConversion"/>
  </si>
  <si>
    <t>Particle high</t>
    <phoneticPr fontId="1" type="noConversion"/>
  </si>
  <si>
    <t>Yield loss</t>
    <phoneticPr fontId="1" type="noConversion"/>
  </si>
  <si>
    <t>線路斷路或殘留</t>
    <phoneticPr fontId="1" type="noConversion"/>
  </si>
  <si>
    <t>進貨檢驗片數全檢確認
1.請QC提供目前批次Shuttle Particle level
2.請QC提供目前批次Warp level</t>
    <phoneticPr fontId="1" type="noConversion"/>
  </si>
  <si>
    <t>Wafer背面無汙染
基板吸取真空度</t>
    <phoneticPr fontId="1" type="noConversion"/>
  </si>
  <si>
    <t>部分位置失焦，無法進行曝光</t>
    <phoneticPr fontId="1" type="noConversion"/>
  </si>
  <si>
    <t>目視檢</t>
    <phoneticPr fontId="1" type="noConversion"/>
  </si>
  <si>
    <t>1.進貨檢驗片數全檢擦拭
2.清chuck</t>
    <phoneticPr fontId="1" type="noConversion"/>
  </si>
  <si>
    <t>廠務系統變異</t>
    <phoneticPr fontId="1" type="noConversion"/>
  </si>
  <si>
    <t>CS-10</t>
    <phoneticPr fontId="1" type="noConversion"/>
  </si>
  <si>
    <t>環境擺測試控片，前後值分析</t>
    <phoneticPr fontId="1" type="noConversion"/>
  </si>
  <si>
    <t>變質或厚度變異</t>
    <phoneticPr fontId="1" type="noConversion"/>
  </si>
  <si>
    <t>解析度不佳及CD變異</t>
    <phoneticPr fontId="1" type="noConversion"/>
  </si>
  <si>
    <t>過期或環境影響</t>
    <phoneticPr fontId="1" type="noConversion"/>
  </si>
  <si>
    <t>NANO厚度量測及CD量測</t>
    <phoneticPr fontId="1" type="noConversion"/>
  </si>
  <si>
    <t>設備檢修</t>
    <phoneticPr fontId="1" type="noConversion"/>
  </si>
  <si>
    <t>厚度均勻無氣泡產生</t>
    <phoneticPr fontId="1" type="noConversion"/>
  </si>
  <si>
    <t>1.設備檢修
2.增加管路Cycle Purge次數</t>
    <phoneticPr fontId="1" type="noConversion"/>
  </si>
  <si>
    <t>下料量不足</t>
    <phoneticPr fontId="1" type="noConversion"/>
  </si>
  <si>
    <t>塗佈厚度不足,厚度不均，產生箭影</t>
    <phoneticPr fontId="1" type="noConversion"/>
  </si>
  <si>
    <t>NANO，目視</t>
    <phoneticPr fontId="1" type="noConversion"/>
  </si>
  <si>
    <t>顯影液因PI開scribe line而覆蓋不均</t>
    <phoneticPr fontId="1" type="noConversion"/>
  </si>
  <si>
    <t>目視或光學顯微鏡</t>
    <phoneticPr fontId="1" type="noConversion"/>
  </si>
  <si>
    <t>增加顯影液的量</t>
    <phoneticPr fontId="1" type="noConversion"/>
  </si>
  <si>
    <t>管路壓力不足或清洗時間不夠</t>
    <phoneticPr fontId="1" type="noConversion"/>
  </si>
  <si>
    <t>晶片表面異常</t>
    <phoneticPr fontId="1" type="noConversion"/>
  </si>
  <si>
    <t>晶片表面刮痕、顆粒、凹凸過大,背面太髒</t>
    <phoneticPr fontId="1" type="noConversion"/>
  </si>
  <si>
    <t>目視/OM檢查</t>
    <phoneticPr fontId="1" type="noConversion"/>
  </si>
  <si>
    <t>要求前站增加檢查樣本數, 並出示檢測證明</t>
    <phoneticPr fontId="1" type="noConversion"/>
  </si>
  <si>
    <t>晶片取放/傳送</t>
    <phoneticPr fontId="1" type="noConversion"/>
  </si>
  <si>
    <t>晶片偵測異常</t>
    <phoneticPr fontId="1" type="noConversion"/>
  </si>
  <si>
    <t>需人工確認處裡</t>
    <phoneticPr fontId="1" type="noConversion"/>
  </si>
  <si>
    <t>取放失誤</t>
    <phoneticPr fontId="1" type="noConversion"/>
  </si>
  <si>
    <t>Particle</t>
    <phoneticPr fontId="1" type="noConversion"/>
  </si>
  <si>
    <t>晶片表面有particle</t>
    <phoneticPr fontId="1" type="noConversion"/>
  </si>
  <si>
    <t>手臂/吸盤未清潔</t>
    <phoneticPr fontId="1" type="noConversion"/>
  </si>
  <si>
    <t>定期擦拭手臂/吸盤</t>
    <phoneticPr fontId="1" type="noConversion"/>
  </si>
  <si>
    <t>定期擦拭手臂/吸盤,進行晶片傳送/取放測試</t>
    <phoneticPr fontId="1" type="noConversion"/>
  </si>
  <si>
    <t>晶片中心化</t>
    <phoneticPr fontId="1" type="noConversion"/>
  </si>
  <si>
    <t>晶片未置中</t>
    <phoneticPr fontId="1" type="noConversion"/>
  </si>
  <si>
    <t>機台發出警報</t>
    <phoneticPr fontId="1" type="noConversion"/>
  </si>
  <si>
    <t>請原廠保養/檢測</t>
    <phoneticPr fontId="1" type="noConversion"/>
  </si>
  <si>
    <t>轉速異常</t>
    <phoneticPr fontId="1" type="noConversion"/>
  </si>
  <si>
    <t>旋轉馬達異常,轉速不對</t>
    <phoneticPr fontId="1" type="noConversion"/>
  </si>
  <si>
    <t>機台自動偵測轉速</t>
    <phoneticPr fontId="1" type="noConversion"/>
  </si>
  <si>
    <t>吐料手臂擺動異常</t>
    <phoneticPr fontId="1" type="noConversion"/>
  </si>
  <si>
    <t>馬達/控制器 異常</t>
    <phoneticPr fontId="1" type="noConversion"/>
  </si>
  <si>
    <t>機台自動偵測</t>
    <phoneticPr fontId="1" type="noConversion"/>
  </si>
  <si>
    <t>exhaust排氣異常</t>
    <phoneticPr fontId="1" type="noConversion"/>
  </si>
  <si>
    <t>排氣異常</t>
    <phoneticPr fontId="1" type="noConversion"/>
  </si>
  <si>
    <t>定期檢查排氣是否正常</t>
    <phoneticPr fontId="1" type="noConversion"/>
  </si>
  <si>
    <t>Particle在晶片表面</t>
    <phoneticPr fontId="1" type="noConversion"/>
  </si>
  <si>
    <t>CUP壁不乾淨在晶片旋轉時捲回晶片表面</t>
    <phoneticPr fontId="1" type="noConversion"/>
  </si>
  <si>
    <t>N2異常</t>
    <phoneticPr fontId="1" type="noConversion"/>
  </si>
  <si>
    <t>人工觀察</t>
    <phoneticPr fontId="1" type="noConversion"/>
  </si>
  <si>
    <t>依機台內設定</t>
    <phoneticPr fontId="1" type="noConversion"/>
  </si>
  <si>
    <t>FMEA最主目的在針對還未發生的可能失效模式，預想其對策並希望消弭重大失效於未然，但FMEA要的可不是那種無中生有、憑空想像出來的失效內容，所以填寫FMEA的人選得是那些有過實戰經驗的人員才行。</t>
  </si>
  <si>
    <t>1.Wafer check/ handling</t>
    <phoneticPr fontId="1" type="noConversion"/>
  </si>
  <si>
    <t>晶圓進料檢查</t>
    <phoneticPr fontId="1" type="noConversion"/>
  </si>
  <si>
    <t>塗佈後造成濺影,氣泡,
PI後薄不均,顯影後via open太大或不開</t>
    <phoneticPr fontId="1" type="noConversion"/>
  </si>
  <si>
    <t>晶片表面無刮痕、顆粒、凹凸過大(&lt;1.66um)</t>
    <phoneticPr fontId="1" type="noConversion"/>
  </si>
  <si>
    <t>濺影產生造成PI塗佈不均</t>
    <phoneticPr fontId="1" type="noConversion"/>
  </si>
  <si>
    <t>進貨無抽樣到</t>
    <phoneticPr fontId="1" type="noConversion"/>
  </si>
  <si>
    <t>camtek、NANO、CS-10、OM</t>
    <phoneticPr fontId="1" type="noConversion"/>
  </si>
  <si>
    <t>翹曲warp</t>
    <phoneticPr fontId="1" type="noConversion"/>
  </si>
  <si>
    <t>機台警示(真空度過低無法抓取)</t>
    <phoneticPr fontId="1" type="noConversion"/>
  </si>
  <si>
    <t>晶片內外受熱不均，開孔大小不均</t>
    <phoneticPr fontId="1" type="noConversion"/>
  </si>
  <si>
    <t>目視、Fogale</t>
    <phoneticPr fontId="1" type="noConversion"/>
  </si>
  <si>
    <t>Fogale檢測warp前值</t>
    <phoneticPr fontId="1" type="noConversion"/>
  </si>
  <si>
    <t>晶片斜插,凸片,sensor異常</t>
    <phoneticPr fontId="1" type="noConversion"/>
  </si>
  <si>
    <t>定期進行晶片傳送/取放測試</t>
    <phoneticPr fontId="1" type="noConversion"/>
  </si>
  <si>
    <t>手臂之真空異常</t>
    <phoneticPr fontId="1" type="noConversion"/>
  </si>
  <si>
    <t>後續高速旋轉時晶片吸不住而飛離破裂</t>
    <phoneticPr fontId="1" type="noConversion"/>
  </si>
  <si>
    <t>機械故障,校正不完全</t>
    <phoneticPr fontId="1" type="noConversion"/>
  </si>
  <si>
    <t>在晶片於塗佈/顯影旋轉時肉眼觀察是否偏心</t>
    <phoneticPr fontId="1" type="noConversion"/>
  </si>
  <si>
    <t>定期進行晶片旋轉測試,以回推是否偏心需校正</t>
    <phoneticPr fontId="1" type="noConversion"/>
  </si>
  <si>
    <t>2. PI旋轉塗佈</t>
    <phoneticPr fontId="1" type="noConversion"/>
  </si>
  <si>
    <t>PI原料品質</t>
    <phoneticPr fontId="1" type="noConversion"/>
  </si>
  <si>
    <t>1.二周一次更換材料，測試
2.Nano-測厚度
3.CD解析度-OM
4.產品Camtek</t>
    <phoneticPr fontId="1" type="noConversion"/>
  </si>
  <si>
    <t>下料量
SPEC.=18 ± 0.5㏄</t>
    <phoneticPr fontId="1" type="noConversion"/>
  </si>
  <si>
    <t>N2加壓異常</t>
    <phoneticPr fontId="1" type="noConversion"/>
  </si>
  <si>
    <t>1.設備檢修
2.空跑第一片</t>
    <phoneticPr fontId="1" type="noConversion"/>
  </si>
  <si>
    <t>via處嚴重殘留，斷路</t>
    <phoneticPr fontId="1" type="noConversion"/>
  </si>
  <si>
    <t>加壓罐N2溶入PI，管路/閥件接縫處產生
管路無排泡或回吸失效</t>
    <phoneticPr fontId="1" type="noConversion"/>
  </si>
  <si>
    <t>機台內建重力除泡罐
NANO，目視或OM</t>
    <phoneticPr fontId="1" type="noConversion"/>
  </si>
  <si>
    <t>吐料口PI: 0&lt;回吸&lt;3mm</t>
    <phoneticPr fontId="1" type="noConversion"/>
  </si>
  <si>
    <t>吐料口PI回吸異常</t>
    <phoneticPr fontId="1" type="noConversion"/>
  </si>
  <si>
    <t>手臂移動路線上均有PI弄髒其他地方,
吐出PI帶有氣泡</t>
    <phoneticPr fontId="1" type="noConversion"/>
  </si>
  <si>
    <t>回吸閥異常,回吸調整不適當</t>
    <phoneticPr fontId="1" type="noConversion"/>
  </si>
  <si>
    <t>調整適當之回吸量</t>
    <phoneticPr fontId="1" type="noConversion"/>
  </si>
  <si>
    <t>每次使用前檢查吐料口</t>
    <phoneticPr fontId="1" type="noConversion"/>
  </si>
  <si>
    <t>供料pump正常</t>
    <phoneticPr fontId="1" type="noConversion"/>
  </si>
  <si>
    <t>供料pump</t>
    <phoneticPr fontId="1" type="noConversion"/>
  </si>
  <si>
    <t>PI吐料異常,厚度不均</t>
    <phoneticPr fontId="1" type="noConversion"/>
  </si>
  <si>
    <t>供料Pump故障造成PI吐料異常</t>
    <phoneticPr fontId="1" type="noConversion"/>
  </si>
  <si>
    <t>目前機台無此pump</t>
    <phoneticPr fontId="1" type="noConversion"/>
  </si>
  <si>
    <t>PI供料溫控 (&lt;±1℃)</t>
    <phoneticPr fontId="1" type="noConversion"/>
  </si>
  <si>
    <t>PI供料溫控</t>
    <phoneticPr fontId="1" type="noConversion"/>
  </si>
  <si>
    <t>PI厚度不對</t>
    <phoneticPr fontId="1" type="noConversion"/>
  </si>
  <si>
    <t>供料之溫控失效,吐出之PI溫度過高或過低,黏度跑掉,PI厚度不對</t>
    <phoneticPr fontId="1" type="noConversion"/>
  </si>
  <si>
    <t>目前機台無供料溫控
定期檢查溫控裝置</t>
    <phoneticPr fontId="1" type="noConversion"/>
  </si>
  <si>
    <t>吐料手臂擺動正常</t>
    <phoneticPr fontId="1" type="noConversion"/>
  </si>
  <si>
    <t>PI, Pre-wet, EBR供料位置異常</t>
    <phoneticPr fontId="1" type="noConversion"/>
  </si>
  <si>
    <t>馬達/控制器異常</t>
    <phoneticPr fontId="1" type="noConversion"/>
  </si>
  <si>
    <t>機台自動偵測</t>
  </si>
  <si>
    <t>Pre-wet正常</t>
    <phoneticPr fontId="1" type="noConversion"/>
  </si>
  <si>
    <t>Pre-wet</t>
    <phoneticPr fontId="1" type="noConversion"/>
  </si>
  <si>
    <t>晶片表面潤濕不足</t>
    <phoneticPr fontId="1" type="noConversion"/>
  </si>
  <si>
    <t>控制閥異常, N2異常</t>
    <phoneticPr fontId="1" type="noConversion"/>
  </si>
  <si>
    <t>EBR洗邊正常</t>
    <phoneticPr fontId="1" type="noConversion"/>
  </si>
  <si>
    <t>EBR洗邊</t>
    <phoneticPr fontId="1" type="noConversion"/>
  </si>
  <si>
    <t>晶邊沒洗乾淨</t>
    <phoneticPr fontId="1" type="noConversion"/>
  </si>
  <si>
    <t>BSR背洗正常</t>
    <phoneticPr fontId="1" type="noConversion"/>
  </si>
  <si>
    <t>BSR背洗</t>
    <phoneticPr fontId="1" type="noConversion"/>
  </si>
  <si>
    <t>晶背不乾淨</t>
    <phoneticPr fontId="1" type="noConversion"/>
  </si>
  <si>
    <t>N2壓力正常</t>
    <phoneticPr fontId="1" type="noConversion"/>
  </si>
  <si>
    <t>N2壓力異常</t>
    <phoneticPr fontId="1" type="noConversion"/>
  </si>
  <si>
    <t>PI吐料不穩, pre-wet/EBR/BSR異常</t>
    <phoneticPr fontId="1" type="noConversion"/>
  </si>
  <si>
    <t>N2壓力不穩定造成吐料量變化</t>
    <phoneticPr fontId="1" type="noConversion"/>
  </si>
  <si>
    <t>機台已設定最低操作壓力</t>
    <phoneticPr fontId="1" type="noConversion"/>
  </si>
  <si>
    <t>定期確認壓力錶</t>
    <phoneticPr fontId="1" type="noConversion"/>
  </si>
  <si>
    <t>轉速正常 ±3rpm</t>
    <phoneticPr fontId="1" type="noConversion"/>
  </si>
  <si>
    <t>旋轉馬達異常,轉速不對,造成PI厚度不對</t>
    <phoneticPr fontId="1" type="noConversion"/>
  </si>
  <si>
    <t>機台自動偵測轉速
NANO厚度量測</t>
    <phoneticPr fontId="1" type="noConversion"/>
  </si>
  <si>
    <t>1.設備檢修
2.每次上料測試後略微調整</t>
    <phoneticPr fontId="1" type="noConversion"/>
  </si>
  <si>
    <t>沒有PI gel產生</t>
    <phoneticPr fontId="1" type="noConversion"/>
  </si>
  <si>
    <t>PI gel產生</t>
    <phoneticPr fontId="1" type="noConversion"/>
  </si>
  <si>
    <t>PI表面凸起</t>
    <phoneticPr fontId="1" type="noConversion"/>
  </si>
  <si>
    <t>PI管路不潔淨,
吐料口材料乾掉</t>
    <phoneticPr fontId="1" type="noConversion"/>
  </si>
  <si>
    <t>定期洗管
定時吐料,保濕盒</t>
    <phoneticPr fontId="1" type="noConversion"/>
  </si>
  <si>
    <t>定期洗管(每月)
定時吐料,保濕盒</t>
    <phoneticPr fontId="1" type="noConversion"/>
  </si>
  <si>
    <t>exhaust排氣正常</t>
    <phoneticPr fontId="1" type="noConversion"/>
  </si>
  <si>
    <t>PI表面particle增加, 溶劑異味增加</t>
    <phoneticPr fontId="1" type="noConversion"/>
  </si>
  <si>
    <t>無Particle在晶片表面</t>
    <phoneticPr fontId="1" type="noConversion"/>
  </si>
  <si>
    <t>PI表面凸起,
造成濺影使PI厚度不均</t>
    <phoneticPr fontId="1" type="noConversion"/>
  </si>
  <si>
    <t>定期送洗CUP</t>
    <phoneticPr fontId="1" type="noConversion"/>
  </si>
  <si>
    <t>增加送洗頻率</t>
    <phoneticPr fontId="1" type="noConversion"/>
  </si>
  <si>
    <t>3.軟烤 HP+CP</t>
    <phoneticPr fontId="1" type="noConversion"/>
  </si>
  <si>
    <t>HP溫度異常&lt;±1.5℃</t>
    <phoneticPr fontId="1" type="noConversion"/>
  </si>
  <si>
    <t>HP溫度異常</t>
    <phoneticPr fontId="1" type="noConversion"/>
  </si>
  <si>
    <t>PI烤不夠或太久，CD變異</t>
    <phoneticPr fontId="1" type="noConversion"/>
  </si>
  <si>
    <t>HP故障溫度不對</t>
    <phoneticPr fontId="1" type="noConversion"/>
  </si>
  <si>
    <t>機台內有偵測溫度上下限</t>
    <phoneticPr fontId="1" type="noConversion"/>
  </si>
  <si>
    <t>定期TC wafer 測溫，設備檢修</t>
    <phoneticPr fontId="1" type="noConversion"/>
  </si>
  <si>
    <t>HP溫度均勻性 &lt;±1.5℃</t>
    <phoneticPr fontId="1" type="noConversion"/>
  </si>
  <si>
    <t>HP溫度均勻性</t>
    <phoneticPr fontId="1" type="noConversion"/>
  </si>
  <si>
    <t>造成PI受熱不均</t>
    <phoneticPr fontId="1" type="noConversion"/>
  </si>
  <si>
    <t>HP故障溫度不均勻</t>
    <phoneticPr fontId="1" type="noConversion"/>
  </si>
  <si>
    <t>製程結果有問題才處理</t>
    <phoneticPr fontId="1" type="noConversion"/>
  </si>
  <si>
    <t>定期TC wafer 測溫</t>
    <phoneticPr fontId="1" type="noConversion"/>
  </si>
  <si>
    <t>Gap 正常 依設定值</t>
    <phoneticPr fontId="1" type="noConversion"/>
  </si>
  <si>
    <t>Gap 異常</t>
    <phoneticPr fontId="1" type="noConversion"/>
  </si>
  <si>
    <t>PI烤不夠或太久</t>
    <phoneticPr fontId="1" type="noConversion"/>
  </si>
  <si>
    <t>頂pin異常</t>
    <phoneticPr fontId="1" type="noConversion"/>
  </si>
  <si>
    <t>PI烤不乾</t>
    <phoneticPr fontId="1" type="noConversion"/>
  </si>
  <si>
    <t>排氣異常造成solvent充滿HP腔內</t>
    <phoneticPr fontId="1" type="noConversion"/>
  </si>
  <si>
    <t>打開腔門,定期檢查排氣</t>
    <phoneticPr fontId="1" type="noConversion"/>
  </si>
  <si>
    <t>設備商-更有效之排氣設計</t>
    <phoneticPr fontId="1" type="noConversion"/>
  </si>
  <si>
    <t>HP上板溫度正常</t>
    <phoneticPr fontId="1" type="noConversion"/>
  </si>
  <si>
    <t>HP上板溫度異常</t>
    <phoneticPr fontId="1" type="noConversion"/>
  </si>
  <si>
    <t>Solvent凝結滴落至PI表面而烤不乾</t>
    <phoneticPr fontId="1" type="noConversion"/>
  </si>
  <si>
    <t>HP上板故障</t>
    <phoneticPr fontId="1" type="noConversion"/>
  </si>
  <si>
    <t>CP溫度正常</t>
    <phoneticPr fontId="1" type="noConversion"/>
  </si>
  <si>
    <t>CP溫度異常</t>
    <phoneticPr fontId="1" type="noConversion"/>
  </si>
  <si>
    <t>每片之間回溫情況略有差異</t>
    <phoneticPr fontId="1" type="noConversion"/>
  </si>
  <si>
    <t>CP回溫速度太慢</t>
    <phoneticPr fontId="1" type="noConversion"/>
  </si>
  <si>
    <t>無控制 (目前CP為自然冷卻,回溫速度較慢)</t>
    <phoneticPr fontId="1" type="noConversion"/>
  </si>
  <si>
    <t>拉長晶片進入CP時間,
設備商-使用水冷控制之CP</t>
    <phoneticPr fontId="1" type="noConversion"/>
  </si>
  <si>
    <t>無particle</t>
    <phoneticPr fontId="1" type="noConversion"/>
  </si>
  <si>
    <t>particle</t>
    <phoneticPr fontId="1" type="noConversion"/>
  </si>
  <si>
    <t>造成PI表面凸起,
造成濺影使PI厚度不均</t>
    <phoneticPr fontId="1" type="noConversion"/>
  </si>
  <si>
    <t>HP,CP腔壁particle掉落</t>
    <phoneticPr fontId="1" type="noConversion"/>
  </si>
  <si>
    <t>定期清潔</t>
    <phoneticPr fontId="1" type="noConversion"/>
  </si>
  <si>
    <t>4.對位
SUSS, K&amp;S, LDI</t>
    <phoneticPr fontId="1" type="noConversion"/>
  </si>
  <si>
    <t>5. PI顯影</t>
    <phoneticPr fontId="1" type="noConversion"/>
  </si>
  <si>
    <t>顯影條件正常</t>
    <phoneticPr fontId="1" type="noConversion"/>
  </si>
  <si>
    <t>顯影條件不對</t>
    <phoneticPr fontId="1" type="noConversion"/>
  </si>
  <si>
    <t>PI恐底殘留太嚴重,
PI peeling</t>
    <phoneticPr fontId="1" type="noConversion"/>
  </si>
  <si>
    <t>顯影時間不足或過長</t>
    <phoneticPr fontId="1" type="noConversion"/>
  </si>
  <si>
    <t>OM檢查,OP定期測機</t>
    <phoneticPr fontId="1" type="noConversion"/>
  </si>
  <si>
    <t>OP定期測機,
不同設計需要先做測試片確認顯影條件</t>
    <phoneticPr fontId="1" type="noConversion"/>
  </si>
  <si>
    <t>供料幫鋪正常</t>
    <phoneticPr fontId="1" type="noConversion"/>
  </si>
  <si>
    <t>供料幫鋪</t>
    <phoneticPr fontId="1" type="noConversion"/>
  </si>
  <si>
    <t>局部區顯影液不足,顯不乾淨</t>
    <phoneticPr fontId="1" type="noConversion"/>
  </si>
  <si>
    <t>pump故障,無法吐顯影液</t>
    <phoneticPr fontId="1" type="noConversion"/>
  </si>
  <si>
    <t>請原廠固定保養/檢測
設備商-加上此pump</t>
    <phoneticPr fontId="1" type="noConversion"/>
  </si>
  <si>
    <t>顯影液溫控&lt;±1.5℃</t>
    <phoneticPr fontId="1" type="noConversion"/>
  </si>
  <si>
    <t>顯影液溫控</t>
    <phoneticPr fontId="1" type="noConversion"/>
  </si>
  <si>
    <t>顯影不夠或超過,CD太大或不開</t>
    <phoneticPr fontId="1" type="noConversion"/>
  </si>
  <si>
    <t>顯影液溫控故障,溫度太高或太低</t>
    <phoneticPr fontId="1" type="noConversion"/>
  </si>
  <si>
    <t>目前機台無此溫控
CD以OM檢測</t>
    <phoneticPr fontId="1" type="noConversion"/>
  </si>
  <si>
    <t>請原廠固定保養/檢測,
設備商-加上溫控功能</t>
    <phoneticPr fontId="1" type="noConversion"/>
  </si>
  <si>
    <t>顯影液需全面覆蓋</t>
    <phoneticPr fontId="1" type="noConversion"/>
  </si>
  <si>
    <t>部分PI殘留</t>
    <phoneticPr fontId="1" type="noConversion"/>
  </si>
  <si>
    <t>CD變異, Via不開</t>
    <phoneticPr fontId="1" type="noConversion"/>
  </si>
  <si>
    <t>C260(PGMEA) rinse
SPEC.=no residue 無彩紋…</t>
    <phoneticPr fontId="1" type="noConversion"/>
  </si>
  <si>
    <t>N2壓力不穩定造成吐出之顯影液量變化</t>
    <phoneticPr fontId="1" type="noConversion"/>
  </si>
  <si>
    <t>機台已設定最低操作壓力</t>
  </si>
  <si>
    <t>局部區域顯影不夠或超過,via open太大或不開</t>
    <phoneticPr fontId="1" type="noConversion"/>
  </si>
  <si>
    <t>機台附近溶劑異味增加</t>
    <phoneticPr fontId="1" type="noConversion"/>
  </si>
  <si>
    <t>定期確認排氣錶正常</t>
    <phoneticPr fontId="1" type="noConversion"/>
  </si>
  <si>
    <t>顯影後晶片表面帶有particle</t>
    <phoneticPr fontId="1" type="noConversion"/>
  </si>
  <si>
    <t>CUP/腔壁沾黏材料粉塵/particle,顯影時掉回晶片表面</t>
    <phoneticPr fontId="1" type="noConversion"/>
  </si>
  <si>
    <t>不定期清潔</t>
    <phoneticPr fontId="1" type="noConversion"/>
  </si>
  <si>
    <t>6. Oven cure</t>
    <phoneticPr fontId="1" type="noConversion"/>
  </si>
  <si>
    <t xml:space="preserve">Q-time </t>
    <phoneticPr fontId="1" type="noConversion"/>
  </si>
  <si>
    <t>吸水,吸氨</t>
    <phoneticPr fontId="1" type="noConversion"/>
  </si>
  <si>
    <t>via顯不開、profile變形</t>
    <phoneticPr fontId="1" type="noConversion"/>
  </si>
  <si>
    <t>Q-time</t>
    <phoneticPr fontId="1" type="noConversion"/>
  </si>
  <si>
    <t>1.Q-time控制
2.環境NH3檢測</t>
    <phoneticPr fontId="1" type="noConversion"/>
  </si>
  <si>
    <t>溫度控制 &lt;±2℃</t>
    <phoneticPr fontId="1" type="noConversion"/>
  </si>
  <si>
    <t>溫度控制</t>
    <phoneticPr fontId="1" type="noConversion"/>
  </si>
  <si>
    <t>溫度不夠PI物性化性改變,溫度太高影響前層材料</t>
    <phoneticPr fontId="1" type="noConversion"/>
  </si>
  <si>
    <t>sensor故障,加熱器/溫度控制器異常</t>
    <phoneticPr fontId="1" type="noConversion"/>
  </si>
  <si>
    <t>定期TC wafer測溫</t>
    <phoneticPr fontId="1" type="noConversion"/>
  </si>
  <si>
    <t>cure 不夠，PI 沒有完全故化</t>
    <phoneticPr fontId="1" type="noConversion"/>
  </si>
  <si>
    <t>物化性改變</t>
    <phoneticPr fontId="1" type="noConversion"/>
  </si>
  <si>
    <t>溫度不足，時間不足</t>
    <phoneticPr fontId="1" type="noConversion"/>
  </si>
  <si>
    <t>依烤箱內設定之參數</t>
    <phoneticPr fontId="1" type="noConversion"/>
  </si>
  <si>
    <t>cure 太多，PI裂解</t>
    <phoneticPr fontId="1" type="noConversion"/>
  </si>
  <si>
    <t>peeling, 物化性改變</t>
    <phoneticPr fontId="1" type="noConversion"/>
  </si>
  <si>
    <t>溫度過高，時間過久</t>
    <phoneticPr fontId="1" type="noConversion"/>
  </si>
  <si>
    <t>N2正常</t>
    <phoneticPr fontId="1" type="noConversion"/>
  </si>
  <si>
    <t>造成O2含量太高,PI固化後變質,物性化性改變</t>
    <phoneticPr fontId="1" type="noConversion"/>
  </si>
  <si>
    <t>廠務供應異常, 管路破裂/阻塞, 控制閥件故障</t>
    <phoneticPr fontId="1" type="noConversion"/>
  </si>
  <si>
    <t>有02偵測,超量時自動烤箱alarm停止,手動烤箱僅顯示數值。</t>
    <phoneticPr fontId="1" type="noConversion"/>
  </si>
  <si>
    <t>手動烤箱執行後,等待10分鐘確認O2含量</t>
    <phoneticPr fontId="1" type="noConversion"/>
  </si>
  <si>
    <t>排氣功能正常</t>
    <phoneticPr fontId="1" type="noConversion"/>
  </si>
  <si>
    <t>排氣功能</t>
    <phoneticPr fontId="1" type="noConversion"/>
  </si>
  <si>
    <t>排氣太強烤箱溫度上不去PI固化不完全,
物性化性改變</t>
    <phoneticPr fontId="1" type="noConversion"/>
  </si>
  <si>
    <t>排氣太強烤箱溫度上不去,排氣不足</t>
    <phoneticPr fontId="1" type="noConversion"/>
  </si>
  <si>
    <t>自動烤箱自動偵測,
手動烤箱人為調整好排氣閥門</t>
    <phoneticPr fontId="1" type="noConversion"/>
  </si>
  <si>
    <t>溫度均勻性 &lt;±2℃</t>
    <phoneticPr fontId="1" type="noConversion"/>
  </si>
  <si>
    <t>溫度均勻性</t>
    <phoneticPr fontId="1" type="noConversion"/>
  </si>
  <si>
    <t>不同晶片之PI固化的程度不同</t>
    <phoneticPr fontId="1" type="noConversion"/>
  </si>
  <si>
    <t>部分加熱器異常</t>
    <phoneticPr fontId="1" type="noConversion"/>
  </si>
  <si>
    <t>定期TC wafer測溫
自動烤箱可測三位置
手動烤箱僅一位置</t>
    <phoneticPr fontId="1" type="noConversion"/>
  </si>
  <si>
    <t>particle掉至晶片表面無法清除</t>
    <phoneticPr fontId="1" type="noConversion"/>
  </si>
  <si>
    <t>烤箱清潔度不足</t>
    <phoneticPr fontId="1" type="noConversion"/>
  </si>
  <si>
    <t>定期清潔oven</t>
    <phoneticPr fontId="1" type="noConversion"/>
  </si>
  <si>
    <t>7. Descum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</si>
</sst>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rgb="FF383838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176" fontId="2" fillId="0" borderId="0" xfId="0" quotePrefix="1" applyNumberFormat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readingOrder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F5ED-D7A6-4B77-9985-3F14DFC98696}">
  <sheetPr>
    <tabColor theme="5" tint="0.39997558519241921"/>
  </sheetPr>
  <dimension ref="A1:BS84"/>
  <sheetViews>
    <sheetView tabSelected="1" zoomScale="70" zoomScaleNormal="70" workbookViewId="0">
      <selection activeCell="B34" sqref="B34:B35"/>
    </sheetView>
  </sheetViews>
  <sheetFormatPr defaultColWidth="8.88671875" defaultRowHeight="15.6" x14ac:dyDescent="0.3"/>
  <cols>
    <col min="1" max="1" width="3.88671875" style="2" customWidth="1"/>
    <col min="2" max="2" width="26.33203125" style="2" customWidth="1"/>
    <col min="3" max="3" width="41.6640625" style="30" customWidth="1"/>
    <col min="4" max="4" width="38" style="30" customWidth="1"/>
    <col min="5" max="5" width="59.109375" style="30" customWidth="1"/>
    <col min="6" max="6" width="10" style="30" customWidth="1"/>
    <col min="7" max="7" width="39.109375" style="30" customWidth="1"/>
    <col min="8" max="8" width="10.33203125" style="2" customWidth="1"/>
    <col min="9" max="9" width="43.109375" style="30" customWidth="1"/>
    <col min="10" max="10" width="9.77734375" style="30" customWidth="1"/>
    <col min="11" max="11" width="12.33203125" style="30" customWidth="1"/>
    <col min="12" max="12" width="47.44140625" style="2" customWidth="1"/>
    <col min="13" max="13" width="11.44140625" style="30" customWidth="1"/>
    <col min="14" max="14" width="10.44140625" style="2" customWidth="1"/>
    <col min="15" max="15" width="10.33203125" style="2" customWidth="1"/>
    <col min="16" max="16" width="12.77734375" style="2" customWidth="1"/>
    <col min="17" max="17" width="17.77734375" style="2" customWidth="1"/>
    <col min="18" max="19" width="8.88671875" style="2"/>
    <col min="20" max="21" width="11.44140625" style="2" bestFit="1" customWidth="1"/>
    <col min="22" max="22" width="11.44140625" style="2" customWidth="1"/>
    <col min="23" max="23" width="15.109375" style="2" customWidth="1"/>
    <col min="24" max="24" width="12.88671875" style="2" bestFit="1" customWidth="1"/>
    <col min="25" max="16384" width="8.88671875" style="2"/>
  </cols>
  <sheetData>
    <row r="1" spans="1:17" x14ac:dyDescent="0.3">
      <c r="H1" s="4"/>
      <c r="I1" s="32"/>
      <c r="J1" s="32"/>
    </row>
    <row r="2" spans="1:17" ht="43.2" x14ac:dyDescent="0.3">
      <c r="A2" s="1"/>
      <c r="B2" s="6" t="s">
        <v>0</v>
      </c>
      <c r="C2" s="12" t="s">
        <v>1</v>
      </c>
      <c r="D2" s="12" t="s">
        <v>2</v>
      </c>
      <c r="E2" s="12" t="s">
        <v>3</v>
      </c>
      <c r="F2" s="7" t="s">
        <v>4</v>
      </c>
      <c r="G2" s="12" t="s">
        <v>5</v>
      </c>
      <c r="H2" s="8" t="s">
        <v>6</v>
      </c>
      <c r="I2" s="12" t="s">
        <v>7</v>
      </c>
      <c r="J2" s="9" t="s">
        <v>8</v>
      </c>
      <c r="K2" s="10" t="s">
        <v>9</v>
      </c>
      <c r="L2" s="12" t="s">
        <v>10</v>
      </c>
      <c r="M2" s="12" t="s">
        <v>4</v>
      </c>
      <c r="N2" s="12" t="s">
        <v>6</v>
      </c>
      <c r="O2" s="12" t="s">
        <v>8</v>
      </c>
      <c r="P2" s="12" t="s">
        <v>9</v>
      </c>
      <c r="Q2" s="12" t="s">
        <v>11</v>
      </c>
    </row>
    <row r="3" spans="1:17" ht="43.2" x14ac:dyDescent="0.3">
      <c r="A3" s="1"/>
      <c r="B3" s="48" t="s">
        <v>70</v>
      </c>
      <c r="C3" s="12" t="s">
        <v>71</v>
      </c>
      <c r="D3" s="12" t="s">
        <v>38</v>
      </c>
      <c r="E3" s="12" t="s">
        <v>72</v>
      </c>
      <c r="F3" s="7">
        <v>5</v>
      </c>
      <c r="G3" s="12" t="s">
        <v>39</v>
      </c>
      <c r="H3" s="8">
        <v>2</v>
      </c>
      <c r="I3" s="12" t="s">
        <v>40</v>
      </c>
      <c r="J3" s="9">
        <v>3</v>
      </c>
      <c r="K3" s="10">
        <f>F3*H3*J3</f>
        <v>30</v>
      </c>
      <c r="L3" s="6" t="s">
        <v>41</v>
      </c>
      <c r="M3" s="11">
        <f>F3</f>
        <v>5</v>
      </c>
      <c r="N3" s="11">
        <f>H3</f>
        <v>2</v>
      </c>
      <c r="O3" s="11">
        <f>J3</f>
        <v>3</v>
      </c>
      <c r="P3" s="11">
        <f t="shared" ref="P3:P53" si="0">M3*N3*O3</f>
        <v>30</v>
      </c>
      <c r="Q3" s="12"/>
    </row>
    <row r="4" spans="1:17" ht="86.4" x14ac:dyDescent="0.3">
      <c r="A4" s="1"/>
      <c r="B4" s="49"/>
      <c r="C4" s="12" t="s">
        <v>73</v>
      </c>
      <c r="D4" s="5" t="s">
        <v>74</v>
      </c>
      <c r="E4" s="5" t="s">
        <v>15</v>
      </c>
      <c r="F4" s="13">
        <v>7</v>
      </c>
      <c r="G4" s="5" t="s">
        <v>75</v>
      </c>
      <c r="H4" s="14">
        <v>7</v>
      </c>
      <c r="I4" s="5" t="s">
        <v>76</v>
      </c>
      <c r="J4" s="15">
        <v>3</v>
      </c>
      <c r="K4" s="16">
        <f t="shared" ref="K4" si="1">F4*H4*J4</f>
        <v>147</v>
      </c>
      <c r="L4" s="3" t="s">
        <v>16</v>
      </c>
      <c r="M4" s="11">
        <f>F4</f>
        <v>7</v>
      </c>
      <c r="N4" s="11">
        <f>H4</f>
        <v>7</v>
      </c>
      <c r="O4" s="11">
        <f>J4</f>
        <v>3</v>
      </c>
      <c r="P4" s="11">
        <f t="shared" si="0"/>
        <v>147</v>
      </c>
      <c r="Q4" s="12"/>
    </row>
    <row r="5" spans="1:17" ht="43.2" x14ac:dyDescent="0.3">
      <c r="A5" s="1"/>
      <c r="B5" s="49"/>
      <c r="C5" s="5" t="s">
        <v>77</v>
      </c>
      <c r="D5" s="5" t="s">
        <v>78</v>
      </c>
      <c r="E5" s="5" t="s">
        <v>79</v>
      </c>
      <c r="F5" s="13">
        <v>7</v>
      </c>
      <c r="G5" s="5"/>
      <c r="H5" s="14"/>
      <c r="I5" s="5" t="s">
        <v>80</v>
      </c>
      <c r="J5" s="15"/>
      <c r="K5" s="16"/>
      <c r="L5" s="3" t="s">
        <v>81</v>
      </c>
      <c r="M5" s="11">
        <f t="shared" ref="M5:M11" si="2">F5</f>
        <v>7</v>
      </c>
      <c r="N5" s="11">
        <f t="shared" ref="N5:N11" si="3">H5</f>
        <v>0</v>
      </c>
      <c r="O5" s="11">
        <f t="shared" ref="O5:O11" si="4">J5</f>
        <v>0</v>
      </c>
      <c r="P5" s="11">
        <f t="shared" si="0"/>
        <v>0</v>
      </c>
      <c r="Q5" s="12"/>
    </row>
    <row r="6" spans="1:17" ht="43.2" x14ac:dyDescent="0.3">
      <c r="A6" s="1"/>
      <c r="B6" s="49"/>
      <c r="C6" s="5" t="s">
        <v>17</v>
      </c>
      <c r="D6" s="5" t="s">
        <v>78</v>
      </c>
      <c r="E6" s="5" t="s">
        <v>18</v>
      </c>
      <c r="F6" s="13">
        <v>7</v>
      </c>
      <c r="G6" s="5" t="s">
        <v>75</v>
      </c>
      <c r="H6" s="14">
        <v>1</v>
      </c>
      <c r="I6" s="5" t="s">
        <v>19</v>
      </c>
      <c r="J6" s="15">
        <v>3</v>
      </c>
      <c r="K6" s="16">
        <f t="shared" ref="K6:K13" si="5">F6*H6*J6</f>
        <v>21</v>
      </c>
      <c r="L6" s="3" t="s">
        <v>20</v>
      </c>
      <c r="M6" s="11">
        <f t="shared" si="2"/>
        <v>7</v>
      </c>
      <c r="N6" s="11">
        <f t="shared" si="3"/>
        <v>1</v>
      </c>
      <c r="O6" s="11">
        <f t="shared" si="4"/>
        <v>3</v>
      </c>
      <c r="P6" s="11">
        <f t="shared" si="0"/>
        <v>21</v>
      </c>
      <c r="Q6" s="12"/>
    </row>
    <row r="7" spans="1:17" ht="21.6" x14ac:dyDescent="0.3">
      <c r="A7" s="1"/>
      <c r="B7" s="49"/>
      <c r="C7" s="5" t="s">
        <v>12</v>
      </c>
      <c r="D7" s="5" t="s">
        <v>13</v>
      </c>
      <c r="E7" s="5" t="s">
        <v>14</v>
      </c>
      <c r="F7" s="13">
        <v>7</v>
      </c>
      <c r="G7" s="5" t="s">
        <v>21</v>
      </c>
      <c r="H7" s="14">
        <v>1</v>
      </c>
      <c r="I7" s="5" t="s">
        <v>22</v>
      </c>
      <c r="J7" s="15">
        <v>3</v>
      </c>
      <c r="K7" s="16">
        <f t="shared" si="5"/>
        <v>21</v>
      </c>
      <c r="L7" s="3" t="s">
        <v>23</v>
      </c>
      <c r="M7" s="11">
        <f t="shared" si="2"/>
        <v>7</v>
      </c>
      <c r="N7" s="11">
        <f t="shared" si="3"/>
        <v>1</v>
      </c>
      <c r="O7" s="11">
        <f t="shared" si="4"/>
        <v>3</v>
      </c>
      <c r="P7" s="11">
        <f t="shared" si="0"/>
        <v>21</v>
      </c>
      <c r="Q7" s="12"/>
    </row>
    <row r="8" spans="1:17" ht="21.6" x14ac:dyDescent="0.3">
      <c r="A8" s="1"/>
      <c r="B8" s="49"/>
      <c r="C8" s="45" t="s">
        <v>42</v>
      </c>
      <c r="D8" s="12" t="s">
        <v>43</v>
      </c>
      <c r="E8" s="12" t="s">
        <v>44</v>
      </c>
      <c r="F8" s="7">
        <v>7</v>
      </c>
      <c r="G8" s="12" t="s">
        <v>82</v>
      </c>
      <c r="H8" s="8">
        <v>5</v>
      </c>
      <c r="I8" s="12" t="s">
        <v>53</v>
      </c>
      <c r="J8" s="9">
        <v>1</v>
      </c>
      <c r="K8" s="10">
        <f t="shared" si="5"/>
        <v>35</v>
      </c>
      <c r="L8" s="6" t="s">
        <v>83</v>
      </c>
      <c r="M8" s="11">
        <f t="shared" si="2"/>
        <v>7</v>
      </c>
      <c r="N8" s="11">
        <f t="shared" si="3"/>
        <v>5</v>
      </c>
      <c r="O8" s="11">
        <f t="shared" si="4"/>
        <v>1</v>
      </c>
      <c r="P8" s="11">
        <f t="shared" si="0"/>
        <v>35</v>
      </c>
      <c r="Q8" s="12"/>
    </row>
    <row r="9" spans="1:17" ht="21.6" x14ac:dyDescent="0.3">
      <c r="A9" s="1"/>
      <c r="B9" s="49"/>
      <c r="C9" s="46"/>
      <c r="D9" s="12" t="s">
        <v>45</v>
      </c>
      <c r="E9" s="12" t="s">
        <v>44</v>
      </c>
      <c r="F9" s="7">
        <v>7</v>
      </c>
      <c r="G9" s="12" t="s">
        <v>84</v>
      </c>
      <c r="H9" s="8">
        <v>3</v>
      </c>
      <c r="I9" s="12" t="s">
        <v>53</v>
      </c>
      <c r="J9" s="9">
        <v>1</v>
      </c>
      <c r="K9" s="10">
        <f t="shared" si="5"/>
        <v>21</v>
      </c>
      <c r="L9" s="6" t="s">
        <v>83</v>
      </c>
      <c r="M9" s="11">
        <f t="shared" si="2"/>
        <v>7</v>
      </c>
      <c r="N9" s="11">
        <f t="shared" si="3"/>
        <v>3</v>
      </c>
      <c r="O9" s="11">
        <f t="shared" si="4"/>
        <v>1</v>
      </c>
      <c r="P9" s="11">
        <f t="shared" si="0"/>
        <v>21</v>
      </c>
      <c r="Q9" s="12"/>
    </row>
    <row r="10" spans="1:17" ht="43.2" x14ac:dyDescent="0.3">
      <c r="A10" s="1"/>
      <c r="B10" s="49"/>
      <c r="C10" s="47"/>
      <c r="D10" s="36" t="s">
        <v>46</v>
      </c>
      <c r="E10" s="12" t="s">
        <v>47</v>
      </c>
      <c r="F10" s="7">
        <v>3</v>
      </c>
      <c r="G10" s="12" t="s">
        <v>48</v>
      </c>
      <c r="H10" s="8">
        <v>3</v>
      </c>
      <c r="I10" s="12" t="s">
        <v>49</v>
      </c>
      <c r="J10" s="9">
        <v>5</v>
      </c>
      <c r="K10" s="10">
        <f t="shared" si="5"/>
        <v>45</v>
      </c>
      <c r="L10" s="6" t="s">
        <v>50</v>
      </c>
      <c r="M10" s="11">
        <f t="shared" si="2"/>
        <v>3</v>
      </c>
      <c r="N10" s="11">
        <f t="shared" si="3"/>
        <v>3</v>
      </c>
      <c r="O10" s="11">
        <f t="shared" si="4"/>
        <v>5</v>
      </c>
      <c r="P10" s="11">
        <f t="shared" si="0"/>
        <v>45</v>
      </c>
      <c r="Q10" s="12"/>
    </row>
    <row r="11" spans="1:17" ht="43.2" x14ac:dyDescent="0.3">
      <c r="A11" s="1"/>
      <c r="B11" s="49"/>
      <c r="C11" s="31" t="s">
        <v>51</v>
      </c>
      <c r="D11" s="36" t="s">
        <v>52</v>
      </c>
      <c r="E11" s="12" t="s">
        <v>85</v>
      </c>
      <c r="F11" s="7">
        <v>7</v>
      </c>
      <c r="G11" s="12" t="s">
        <v>86</v>
      </c>
      <c r="H11" s="8">
        <v>2</v>
      </c>
      <c r="I11" s="12" t="s">
        <v>87</v>
      </c>
      <c r="J11" s="9">
        <v>3</v>
      </c>
      <c r="K11" s="10">
        <f t="shared" si="5"/>
        <v>42</v>
      </c>
      <c r="L11" s="6" t="s">
        <v>88</v>
      </c>
      <c r="M11" s="11">
        <f t="shared" si="2"/>
        <v>7</v>
      </c>
      <c r="N11" s="11">
        <f t="shared" si="3"/>
        <v>2</v>
      </c>
      <c r="O11" s="11">
        <f t="shared" si="4"/>
        <v>3</v>
      </c>
      <c r="P11" s="11">
        <f t="shared" si="0"/>
        <v>42</v>
      </c>
      <c r="Q11" s="12"/>
    </row>
    <row r="12" spans="1:17" ht="86.4" x14ac:dyDescent="0.3">
      <c r="A12" s="1"/>
      <c r="B12" s="48" t="s">
        <v>89</v>
      </c>
      <c r="C12" s="5" t="s">
        <v>90</v>
      </c>
      <c r="D12" s="5" t="s">
        <v>24</v>
      </c>
      <c r="E12" s="5" t="s">
        <v>25</v>
      </c>
      <c r="F12" s="13">
        <v>7</v>
      </c>
      <c r="G12" s="5" t="s">
        <v>26</v>
      </c>
      <c r="H12" s="14">
        <v>1</v>
      </c>
      <c r="I12" s="5" t="s">
        <v>27</v>
      </c>
      <c r="J12" s="15">
        <v>1</v>
      </c>
      <c r="K12" s="16">
        <f t="shared" si="5"/>
        <v>7</v>
      </c>
      <c r="L12" s="3" t="s">
        <v>91</v>
      </c>
      <c r="M12" s="11">
        <f>F12</f>
        <v>7</v>
      </c>
      <c r="N12" s="11">
        <f>H12</f>
        <v>1</v>
      </c>
      <c r="O12" s="11">
        <f>J12</f>
        <v>1</v>
      </c>
      <c r="P12" s="11">
        <f>M12*N12*O12</f>
        <v>7</v>
      </c>
      <c r="Q12" s="12"/>
    </row>
    <row r="13" spans="1:17" ht="43.2" x14ac:dyDescent="0.3">
      <c r="A13" s="1"/>
      <c r="B13" s="49"/>
      <c r="C13" s="5" t="s">
        <v>92</v>
      </c>
      <c r="D13" s="5" t="s">
        <v>31</v>
      </c>
      <c r="E13" s="5" t="s">
        <v>32</v>
      </c>
      <c r="F13" s="13">
        <v>5</v>
      </c>
      <c r="G13" s="5" t="s">
        <v>93</v>
      </c>
      <c r="H13" s="14">
        <v>1</v>
      </c>
      <c r="I13" s="5" t="s">
        <v>33</v>
      </c>
      <c r="J13" s="15">
        <v>1</v>
      </c>
      <c r="K13" s="16">
        <f t="shared" si="5"/>
        <v>5</v>
      </c>
      <c r="L13" s="3" t="s">
        <v>94</v>
      </c>
      <c r="M13" s="11">
        <f t="shared" ref="M13" si="6">F13</f>
        <v>5</v>
      </c>
      <c r="N13" s="11">
        <f t="shared" ref="N13" si="7">H13</f>
        <v>1</v>
      </c>
      <c r="O13" s="11">
        <f t="shared" ref="O13" si="8">J13</f>
        <v>1</v>
      </c>
      <c r="P13" s="11">
        <f t="shared" ref="P13" si="9">M13*N13*O13</f>
        <v>5</v>
      </c>
      <c r="Q13" s="12"/>
    </row>
    <row r="14" spans="1:17" ht="64.8" x14ac:dyDescent="0.3">
      <c r="A14" s="1"/>
      <c r="B14" s="49"/>
      <c r="C14" s="5" t="s">
        <v>29</v>
      </c>
      <c r="D14" s="5" t="s">
        <v>74</v>
      </c>
      <c r="E14" s="5" t="s">
        <v>95</v>
      </c>
      <c r="F14" s="7">
        <v>7</v>
      </c>
      <c r="G14" s="12" t="s">
        <v>96</v>
      </c>
      <c r="H14" s="8">
        <v>3</v>
      </c>
      <c r="I14" s="12" t="s">
        <v>97</v>
      </c>
      <c r="J14" s="9">
        <v>3</v>
      </c>
      <c r="K14" s="10">
        <f>F14*H14*J14</f>
        <v>63</v>
      </c>
      <c r="L14" s="6" t="s">
        <v>30</v>
      </c>
      <c r="M14" s="11">
        <f>F14</f>
        <v>7</v>
      </c>
      <c r="N14" s="11">
        <f>H14</f>
        <v>3</v>
      </c>
      <c r="O14" s="11">
        <f>J14</f>
        <v>3</v>
      </c>
      <c r="P14" s="11">
        <f>M14*N14*O14</f>
        <v>63</v>
      </c>
      <c r="Q14" s="12"/>
    </row>
    <row r="15" spans="1:17" ht="43.2" x14ac:dyDescent="0.3">
      <c r="A15" s="1"/>
      <c r="B15" s="49"/>
      <c r="C15" s="12" t="s">
        <v>98</v>
      </c>
      <c r="D15" s="36" t="s">
        <v>99</v>
      </c>
      <c r="E15" s="12" t="s">
        <v>100</v>
      </c>
      <c r="F15" s="7">
        <v>3</v>
      </c>
      <c r="G15" s="12" t="s">
        <v>101</v>
      </c>
      <c r="H15" s="8">
        <v>3</v>
      </c>
      <c r="I15" s="12" t="s">
        <v>102</v>
      </c>
      <c r="J15" s="9">
        <v>2</v>
      </c>
      <c r="K15" s="10">
        <f t="shared" ref="K15:K53" si="10">F15*H15*J15</f>
        <v>18</v>
      </c>
      <c r="L15" s="6" t="s">
        <v>103</v>
      </c>
      <c r="M15" s="11">
        <f t="shared" ref="M15:M53" si="11">F15</f>
        <v>3</v>
      </c>
      <c r="N15" s="11">
        <f t="shared" ref="N15:N53" si="12">H15</f>
        <v>3</v>
      </c>
      <c r="O15" s="11">
        <f t="shared" ref="O15:O53" si="13">J15</f>
        <v>2</v>
      </c>
      <c r="P15" s="11">
        <f t="shared" ref="P15:P33" si="14">M15*N15*O15</f>
        <v>18</v>
      </c>
      <c r="Q15" s="12"/>
    </row>
    <row r="16" spans="1:17" ht="43.2" x14ac:dyDescent="0.3">
      <c r="A16" s="1"/>
      <c r="B16" s="49"/>
      <c r="C16" s="37" t="s">
        <v>104</v>
      </c>
      <c r="D16" s="37" t="s">
        <v>105</v>
      </c>
      <c r="E16" s="12" t="s">
        <v>106</v>
      </c>
      <c r="F16" s="7">
        <v>5</v>
      </c>
      <c r="G16" s="12" t="s">
        <v>107</v>
      </c>
      <c r="H16" s="8">
        <v>1</v>
      </c>
      <c r="I16" s="12" t="s">
        <v>108</v>
      </c>
      <c r="J16" s="9">
        <v>1</v>
      </c>
      <c r="K16" s="10">
        <f t="shared" si="10"/>
        <v>5</v>
      </c>
      <c r="L16" s="6" t="s">
        <v>54</v>
      </c>
      <c r="M16" s="11">
        <f t="shared" si="11"/>
        <v>5</v>
      </c>
      <c r="N16" s="11">
        <f t="shared" si="12"/>
        <v>1</v>
      </c>
      <c r="O16" s="11">
        <f t="shared" si="13"/>
        <v>1</v>
      </c>
      <c r="P16" s="11">
        <f t="shared" si="14"/>
        <v>5</v>
      </c>
      <c r="Q16" s="12"/>
    </row>
    <row r="17" spans="1:71" ht="64.8" x14ac:dyDescent="0.3">
      <c r="A17" s="1"/>
      <c r="B17" s="49"/>
      <c r="C17" s="37" t="s">
        <v>109</v>
      </c>
      <c r="D17" s="37" t="s">
        <v>110</v>
      </c>
      <c r="E17" s="12" t="s">
        <v>111</v>
      </c>
      <c r="F17" s="7">
        <v>5</v>
      </c>
      <c r="G17" s="12" t="s">
        <v>112</v>
      </c>
      <c r="H17" s="8">
        <v>1</v>
      </c>
      <c r="I17" s="12" t="s">
        <v>113</v>
      </c>
      <c r="J17" s="9">
        <v>1</v>
      </c>
      <c r="K17" s="10">
        <f t="shared" si="10"/>
        <v>5</v>
      </c>
      <c r="L17" s="6" t="s">
        <v>54</v>
      </c>
      <c r="M17" s="11">
        <f t="shared" si="11"/>
        <v>5</v>
      </c>
      <c r="N17" s="11">
        <f t="shared" si="12"/>
        <v>1</v>
      </c>
      <c r="O17" s="11">
        <f t="shared" si="13"/>
        <v>1</v>
      </c>
      <c r="P17" s="11">
        <f t="shared" si="14"/>
        <v>5</v>
      </c>
      <c r="Q17" s="12"/>
    </row>
    <row r="18" spans="1:71" ht="21.6" x14ac:dyDescent="0.3">
      <c r="A18" s="1"/>
      <c r="B18" s="49"/>
      <c r="C18" s="36" t="s">
        <v>114</v>
      </c>
      <c r="D18" s="37" t="s">
        <v>58</v>
      </c>
      <c r="E18" s="36" t="s">
        <v>115</v>
      </c>
      <c r="F18" s="7">
        <v>7</v>
      </c>
      <c r="G18" s="12" t="s">
        <v>116</v>
      </c>
      <c r="H18" s="8">
        <v>1</v>
      </c>
      <c r="I18" s="12" t="s">
        <v>117</v>
      </c>
      <c r="J18" s="9">
        <v>1</v>
      </c>
      <c r="K18" s="10">
        <f t="shared" si="10"/>
        <v>7</v>
      </c>
      <c r="L18" s="6" t="s">
        <v>54</v>
      </c>
      <c r="M18" s="11">
        <f t="shared" si="11"/>
        <v>7</v>
      </c>
      <c r="N18" s="11">
        <f t="shared" si="12"/>
        <v>1</v>
      </c>
      <c r="O18" s="11">
        <f t="shared" si="13"/>
        <v>1</v>
      </c>
      <c r="P18" s="11">
        <f t="shared" si="14"/>
        <v>7</v>
      </c>
      <c r="Q18" s="12"/>
    </row>
    <row r="19" spans="1:71" ht="21.6" x14ac:dyDescent="0.3">
      <c r="A19" s="1"/>
      <c r="B19" s="49"/>
      <c r="C19" s="37" t="s">
        <v>118</v>
      </c>
      <c r="D19" s="37" t="s">
        <v>119</v>
      </c>
      <c r="E19" s="36" t="s">
        <v>120</v>
      </c>
      <c r="F19" s="7">
        <v>5</v>
      </c>
      <c r="G19" s="12" t="s">
        <v>121</v>
      </c>
      <c r="H19" s="8">
        <v>1</v>
      </c>
      <c r="I19" s="12" t="s">
        <v>67</v>
      </c>
      <c r="J19" s="9">
        <v>1</v>
      </c>
      <c r="K19" s="10">
        <f t="shared" si="10"/>
        <v>5</v>
      </c>
      <c r="L19" s="6" t="s">
        <v>54</v>
      </c>
      <c r="M19" s="11">
        <f t="shared" si="11"/>
        <v>5</v>
      </c>
      <c r="N19" s="11">
        <f t="shared" si="12"/>
        <v>1</v>
      </c>
      <c r="O19" s="11">
        <f t="shared" si="13"/>
        <v>1</v>
      </c>
      <c r="P19" s="11">
        <f t="shared" si="14"/>
        <v>5</v>
      </c>
      <c r="Q19" s="12"/>
    </row>
    <row r="20" spans="1:71" ht="21.6" x14ac:dyDescent="0.3">
      <c r="A20" s="1"/>
      <c r="B20" s="49"/>
      <c r="C20" s="37" t="s">
        <v>122</v>
      </c>
      <c r="D20" s="37" t="s">
        <v>123</v>
      </c>
      <c r="E20" s="36" t="s">
        <v>124</v>
      </c>
      <c r="F20" s="7">
        <v>3</v>
      </c>
      <c r="G20" s="12" t="s">
        <v>121</v>
      </c>
      <c r="H20" s="8">
        <v>1</v>
      </c>
      <c r="I20" s="12" t="s">
        <v>67</v>
      </c>
      <c r="J20" s="9">
        <v>1</v>
      </c>
      <c r="K20" s="10">
        <f t="shared" si="10"/>
        <v>3</v>
      </c>
      <c r="L20" s="6" t="s">
        <v>54</v>
      </c>
      <c r="M20" s="11">
        <f t="shared" si="11"/>
        <v>3</v>
      </c>
      <c r="N20" s="11">
        <f t="shared" si="12"/>
        <v>1</v>
      </c>
      <c r="O20" s="11">
        <f t="shared" si="13"/>
        <v>1</v>
      </c>
      <c r="P20" s="11">
        <f t="shared" si="14"/>
        <v>3</v>
      </c>
      <c r="Q20" s="12"/>
    </row>
    <row r="21" spans="1:71" ht="21.6" x14ac:dyDescent="0.3">
      <c r="A21" s="1"/>
      <c r="B21" s="49"/>
      <c r="C21" s="37" t="s">
        <v>125</v>
      </c>
      <c r="D21" s="37" t="s">
        <v>126</v>
      </c>
      <c r="E21" s="36" t="s">
        <v>127</v>
      </c>
      <c r="F21" s="7">
        <v>5</v>
      </c>
      <c r="G21" s="12" t="s">
        <v>121</v>
      </c>
      <c r="H21" s="8">
        <v>1</v>
      </c>
      <c r="I21" s="12" t="s">
        <v>67</v>
      </c>
      <c r="J21" s="9">
        <v>5</v>
      </c>
      <c r="K21" s="10">
        <f t="shared" si="10"/>
        <v>25</v>
      </c>
      <c r="L21" s="6" t="s">
        <v>54</v>
      </c>
      <c r="M21" s="11">
        <f t="shared" si="11"/>
        <v>5</v>
      </c>
      <c r="N21" s="11">
        <f t="shared" si="12"/>
        <v>1</v>
      </c>
      <c r="O21" s="11">
        <f t="shared" si="13"/>
        <v>5</v>
      </c>
      <c r="P21" s="11">
        <f t="shared" si="14"/>
        <v>25</v>
      </c>
      <c r="Q21" s="12"/>
    </row>
    <row r="22" spans="1:71" ht="43.2" x14ac:dyDescent="0.3">
      <c r="A22" s="1"/>
      <c r="B22" s="49"/>
      <c r="C22" s="37" t="s">
        <v>128</v>
      </c>
      <c r="D22" s="37" t="s">
        <v>129</v>
      </c>
      <c r="E22" s="36" t="s">
        <v>130</v>
      </c>
      <c r="F22" s="7">
        <v>5</v>
      </c>
      <c r="G22" s="12" t="s">
        <v>131</v>
      </c>
      <c r="H22" s="8">
        <v>3</v>
      </c>
      <c r="I22" s="12" t="s">
        <v>132</v>
      </c>
      <c r="J22" s="9">
        <v>3</v>
      </c>
      <c r="K22" s="10">
        <f t="shared" si="10"/>
        <v>45</v>
      </c>
      <c r="L22" s="6" t="s">
        <v>133</v>
      </c>
      <c r="M22" s="11">
        <f t="shared" si="11"/>
        <v>5</v>
      </c>
      <c r="N22" s="11">
        <f t="shared" si="12"/>
        <v>3</v>
      </c>
      <c r="O22" s="11">
        <f t="shared" si="13"/>
        <v>3</v>
      </c>
      <c r="P22" s="11">
        <f t="shared" si="14"/>
        <v>45</v>
      </c>
      <c r="Q22" s="12"/>
    </row>
    <row r="23" spans="1:71" ht="43.2" x14ac:dyDescent="0.3">
      <c r="A23" s="1"/>
      <c r="B23" s="49"/>
      <c r="C23" s="37" t="s">
        <v>134</v>
      </c>
      <c r="D23" s="37" t="s">
        <v>55</v>
      </c>
      <c r="E23" s="12" t="s">
        <v>111</v>
      </c>
      <c r="F23" s="7">
        <v>5</v>
      </c>
      <c r="G23" s="12" t="s">
        <v>135</v>
      </c>
      <c r="H23" s="8">
        <v>1</v>
      </c>
      <c r="I23" s="12" t="s">
        <v>136</v>
      </c>
      <c r="J23" s="9">
        <v>1</v>
      </c>
      <c r="K23" s="10">
        <f t="shared" si="10"/>
        <v>5</v>
      </c>
      <c r="L23" s="6" t="s">
        <v>137</v>
      </c>
      <c r="M23" s="11">
        <f t="shared" si="11"/>
        <v>5</v>
      </c>
      <c r="N23" s="11">
        <f t="shared" si="12"/>
        <v>1</v>
      </c>
      <c r="O23" s="11">
        <f t="shared" si="13"/>
        <v>1</v>
      </c>
      <c r="P23" s="11">
        <f t="shared" si="14"/>
        <v>5</v>
      </c>
      <c r="Q23" s="12"/>
    </row>
    <row r="24" spans="1:71" ht="43.2" x14ac:dyDescent="0.3">
      <c r="A24" s="1"/>
      <c r="B24" s="49"/>
      <c r="C24" s="37" t="s">
        <v>138</v>
      </c>
      <c r="D24" s="37" t="s">
        <v>139</v>
      </c>
      <c r="E24" s="12" t="s">
        <v>140</v>
      </c>
      <c r="F24" s="7">
        <v>5</v>
      </c>
      <c r="G24" s="12" t="s">
        <v>141</v>
      </c>
      <c r="H24" s="8">
        <v>5</v>
      </c>
      <c r="I24" s="12" t="s">
        <v>142</v>
      </c>
      <c r="J24" s="9">
        <v>5</v>
      </c>
      <c r="K24" s="10">
        <f t="shared" si="10"/>
        <v>125</v>
      </c>
      <c r="L24" s="6" t="s">
        <v>143</v>
      </c>
      <c r="M24" s="11">
        <f t="shared" si="11"/>
        <v>5</v>
      </c>
      <c r="N24" s="11">
        <f t="shared" si="12"/>
        <v>5</v>
      </c>
      <c r="O24" s="11">
        <f t="shared" si="13"/>
        <v>5</v>
      </c>
      <c r="P24" s="11">
        <f t="shared" si="14"/>
        <v>125</v>
      </c>
      <c r="Q24" s="12"/>
    </row>
    <row r="25" spans="1:71" ht="21.6" x14ac:dyDescent="0.3">
      <c r="A25" s="1"/>
      <c r="B25" s="49"/>
      <c r="C25" s="38" t="s">
        <v>144</v>
      </c>
      <c r="D25" s="38" t="s">
        <v>61</v>
      </c>
      <c r="E25" s="12" t="s">
        <v>145</v>
      </c>
      <c r="F25" s="7">
        <v>5</v>
      </c>
      <c r="G25" s="12" t="s">
        <v>62</v>
      </c>
      <c r="H25" s="8">
        <v>1</v>
      </c>
      <c r="I25" s="12" t="s">
        <v>63</v>
      </c>
      <c r="J25" s="9">
        <v>1</v>
      </c>
      <c r="K25" s="10">
        <f t="shared" si="10"/>
        <v>5</v>
      </c>
      <c r="L25" s="6" t="s">
        <v>63</v>
      </c>
      <c r="M25" s="11">
        <f t="shared" si="11"/>
        <v>5</v>
      </c>
      <c r="N25" s="11">
        <f t="shared" si="12"/>
        <v>1</v>
      </c>
      <c r="O25" s="11">
        <f t="shared" si="13"/>
        <v>1</v>
      </c>
      <c r="P25" s="11">
        <f t="shared" si="14"/>
        <v>5</v>
      </c>
      <c r="Q25" s="12"/>
    </row>
    <row r="26" spans="1:71" ht="43.2" x14ac:dyDescent="0.3">
      <c r="A26" s="1"/>
      <c r="B26" s="50"/>
      <c r="C26" s="12" t="s">
        <v>146</v>
      </c>
      <c r="D26" s="12" t="s">
        <v>64</v>
      </c>
      <c r="E26" s="12" t="s">
        <v>147</v>
      </c>
      <c r="F26" s="7">
        <v>5</v>
      </c>
      <c r="G26" s="12" t="s">
        <v>65</v>
      </c>
      <c r="H26" s="8">
        <v>5</v>
      </c>
      <c r="I26" s="12" t="s">
        <v>148</v>
      </c>
      <c r="J26" s="9">
        <v>5</v>
      </c>
      <c r="K26" s="10">
        <f t="shared" si="10"/>
        <v>125</v>
      </c>
      <c r="L26" s="6" t="s">
        <v>149</v>
      </c>
      <c r="M26" s="11">
        <f t="shared" si="11"/>
        <v>5</v>
      </c>
      <c r="N26" s="11">
        <f t="shared" si="12"/>
        <v>5</v>
      </c>
      <c r="O26" s="11">
        <f t="shared" si="13"/>
        <v>5</v>
      </c>
      <c r="P26" s="11">
        <f t="shared" si="14"/>
        <v>125</v>
      </c>
      <c r="Q26" s="12"/>
    </row>
    <row r="27" spans="1:71" ht="21.6" x14ac:dyDescent="0.3">
      <c r="A27" s="1"/>
      <c r="B27" s="51" t="s">
        <v>150</v>
      </c>
      <c r="C27" s="36" t="s">
        <v>151</v>
      </c>
      <c r="D27" s="36" t="s">
        <v>152</v>
      </c>
      <c r="E27" s="12" t="s">
        <v>153</v>
      </c>
      <c r="F27" s="7">
        <v>5</v>
      </c>
      <c r="G27" s="25" t="s">
        <v>154</v>
      </c>
      <c r="H27" s="8">
        <v>1</v>
      </c>
      <c r="I27" s="25" t="s">
        <v>155</v>
      </c>
      <c r="J27" s="9">
        <v>1</v>
      </c>
      <c r="K27" s="10">
        <f t="shared" si="10"/>
        <v>5</v>
      </c>
      <c r="L27" s="3" t="s">
        <v>156</v>
      </c>
      <c r="M27" s="11">
        <f t="shared" si="11"/>
        <v>5</v>
      </c>
      <c r="N27" s="11">
        <f t="shared" si="12"/>
        <v>1</v>
      </c>
      <c r="O27" s="11">
        <f t="shared" si="13"/>
        <v>1</v>
      </c>
      <c r="P27" s="11">
        <f t="shared" si="14"/>
        <v>5</v>
      </c>
      <c r="Q27" s="12"/>
    </row>
    <row r="28" spans="1:71" s="19" customFormat="1" ht="21.6" x14ac:dyDescent="0.3">
      <c r="A28" s="1"/>
      <c r="B28" s="52"/>
      <c r="C28" s="36" t="s">
        <v>157</v>
      </c>
      <c r="D28" s="36" t="s">
        <v>158</v>
      </c>
      <c r="E28" s="12" t="s">
        <v>159</v>
      </c>
      <c r="F28" s="7">
        <v>5</v>
      </c>
      <c r="G28" s="12" t="s">
        <v>160</v>
      </c>
      <c r="H28" s="8">
        <v>1</v>
      </c>
      <c r="I28" s="12" t="s">
        <v>161</v>
      </c>
      <c r="J28" s="9">
        <v>1</v>
      </c>
      <c r="K28" s="10">
        <f t="shared" si="10"/>
        <v>5</v>
      </c>
      <c r="L28" s="3" t="s">
        <v>162</v>
      </c>
      <c r="M28" s="11">
        <f t="shared" si="11"/>
        <v>5</v>
      </c>
      <c r="N28" s="11">
        <f t="shared" si="12"/>
        <v>1</v>
      </c>
      <c r="O28" s="11">
        <f t="shared" si="13"/>
        <v>1</v>
      </c>
      <c r="P28" s="11">
        <f t="shared" si="14"/>
        <v>5</v>
      </c>
      <c r="Q28" s="6"/>
      <c r="R28" s="1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1:71" s="19" customFormat="1" ht="21.6" x14ac:dyDescent="0.3">
      <c r="A29" s="1"/>
      <c r="B29" s="52"/>
      <c r="C29" s="38" t="s">
        <v>163</v>
      </c>
      <c r="D29" s="38" t="s">
        <v>164</v>
      </c>
      <c r="E29" s="12" t="s">
        <v>165</v>
      </c>
      <c r="F29" s="20">
        <v>5</v>
      </c>
      <c r="G29" s="25" t="s">
        <v>166</v>
      </c>
      <c r="H29" s="21">
        <v>1</v>
      </c>
      <c r="I29" s="25" t="s">
        <v>68</v>
      </c>
      <c r="J29" s="22">
        <v>1</v>
      </c>
      <c r="K29" s="23">
        <f t="shared" si="10"/>
        <v>5</v>
      </c>
      <c r="L29" s="6" t="s">
        <v>54</v>
      </c>
      <c r="M29" s="11">
        <f t="shared" si="11"/>
        <v>5</v>
      </c>
      <c r="N29" s="11">
        <f t="shared" si="12"/>
        <v>1</v>
      </c>
      <c r="O29" s="11">
        <f t="shared" si="13"/>
        <v>1</v>
      </c>
      <c r="P29" s="24">
        <f t="shared" si="14"/>
        <v>5</v>
      </c>
      <c r="Q29" s="17"/>
      <c r="R29" s="1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1:71" s="19" customFormat="1" ht="43.2" x14ac:dyDescent="0.3">
      <c r="A30" s="1"/>
      <c r="B30" s="52"/>
      <c r="C30" s="38" t="s">
        <v>144</v>
      </c>
      <c r="D30" s="38" t="s">
        <v>61</v>
      </c>
      <c r="E30" s="33" t="s">
        <v>167</v>
      </c>
      <c r="F30" s="20">
        <v>5</v>
      </c>
      <c r="G30" s="33" t="s">
        <v>168</v>
      </c>
      <c r="H30" s="21">
        <v>3</v>
      </c>
      <c r="I30" s="25" t="s">
        <v>169</v>
      </c>
      <c r="J30" s="22">
        <v>5</v>
      </c>
      <c r="K30" s="23">
        <f t="shared" si="10"/>
        <v>75</v>
      </c>
      <c r="L30" s="17" t="s">
        <v>170</v>
      </c>
      <c r="M30" s="11">
        <f t="shared" si="11"/>
        <v>5</v>
      </c>
      <c r="N30" s="11">
        <f t="shared" si="12"/>
        <v>3</v>
      </c>
      <c r="O30" s="11">
        <f t="shared" si="13"/>
        <v>5</v>
      </c>
      <c r="P30" s="24">
        <f t="shared" si="14"/>
        <v>75</v>
      </c>
      <c r="Q30" s="17"/>
      <c r="R30" s="18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</row>
    <row r="31" spans="1:71" s="19" customFormat="1" ht="21.6" x14ac:dyDescent="0.3">
      <c r="A31" s="1"/>
      <c r="B31" s="52"/>
      <c r="C31" s="38" t="s">
        <v>171</v>
      </c>
      <c r="D31" s="38" t="s">
        <v>172</v>
      </c>
      <c r="E31" s="33" t="s">
        <v>173</v>
      </c>
      <c r="F31" s="20">
        <v>5</v>
      </c>
      <c r="G31" s="33" t="s">
        <v>174</v>
      </c>
      <c r="H31" s="21">
        <v>1</v>
      </c>
      <c r="I31" s="25" t="s">
        <v>155</v>
      </c>
      <c r="J31" s="22">
        <v>1</v>
      </c>
      <c r="K31" s="23">
        <f t="shared" si="10"/>
        <v>5</v>
      </c>
      <c r="L31" s="6" t="s">
        <v>54</v>
      </c>
      <c r="M31" s="11">
        <f t="shared" si="11"/>
        <v>5</v>
      </c>
      <c r="N31" s="11">
        <f t="shared" si="12"/>
        <v>1</v>
      </c>
      <c r="O31" s="11">
        <f t="shared" si="13"/>
        <v>1</v>
      </c>
      <c r="P31" s="24">
        <f t="shared" si="14"/>
        <v>5</v>
      </c>
      <c r="Q31" s="17"/>
      <c r="R31" s="18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</row>
    <row r="32" spans="1:71" s="19" customFormat="1" ht="43.2" x14ac:dyDescent="0.3">
      <c r="A32" s="1"/>
      <c r="B32" s="52"/>
      <c r="C32" s="33" t="s">
        <v>175</v>
      </c>
      <c r="D32" s="33" t="s">
        <v>176</v>
      </c>
      <c r="E32" s="12" t="s">
        <v>177</v>
      </c>
      <c r="F32" s="20">
        <v>5</v>
      </c>
      <c r="G32" s="33" t="s">
        <v>178</v>
      </c>
      <c r="H32" s="21">
        <v>1</v>
      </c>
      <c r="I32" s="25" t="s">
        <v>179</v>
      </c>
      <c r="J32" s="22">
        <v>5</v>
      </c>
      <c r="K32" s="23">
        <f t="shared" si="10"/>
        <v>25</v>
      </c>
      <c r="L32" s="17" t="s">
        <v>180</v>
      </c>
      <c r="M32" s="11">
        <f t="shared" si="11"/>
        <v>5</v>
      </c>
      <c r="N32" s="11">
        <f t="shared" si="12"/>
        <v>1</v>
      </c>
      <c r="O32" s="11">
        <f t="shared" si="13"/>
        <v>5</v>
      </c>
      <c r="P32" s="24">
        <f t="shared" si="14"/>
        <v>25</v>
      </c>
      <c r="Q32" s="17"/>
      <c r="R32" s="18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</row>
    <row r="33" spans="1:71" s="19" customFormat="1" ht="43.2" x14ac:dyDescent="0.3">
      <c r="A33" s="1"/>
      <c r="B33" s="53"/>
      <c r="C33" s="38" t="s">
        <v>181</v>
      </c>
      <c r="D33" s="38" t="s">
        <v>182</v>
      </c>
      <c r="E33" s="12" t="s">
        <v>183</v>
      </c>
      <c r="F33" s="20">
        <v>5</v>
      </c>
      <c r="G33" s="25" t="s">
        <v>184</v>
      </c>
      <c r="H33" s="21">
        <v>3</v>
      </c>
      <c r="I33" s="25" t="s">
        <v>185</v>
      </c>
      <c r="J33" s="22">
        <v>5</v>
      </c>
      <c r="K33" s="23">
        <f t="shared" si="10"/>
        <v>75</v>
      </c>
      <c r="L33" s="17" t="s">
        <v>185</v>
      </c>
      <c r="M33" s="11">
        <f t="shared" si="11"/>
        <v>5</v>
      </c>
      <c r="N33" s="11">
        <f t="shared" si="12"/>
        <v>3</v>
      </c>
      <c r="O33" s="11">
        <f t="shared" si="13"/>
        <v>5</v>
      </c>
      <c r="P33" s="24">
        <f t="shared" si="14"/>
        <v>75</v>
      </c>
      <c r="Q33" s="17"/>
      <c r="R33" s="18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spans="1:71" ht="21.6" x14ac:dyDescent="0.3">
      <c r="A34" s="1"/>
      <c r="B34" s="48" t="s">
        <v>186</v>
      </c>
      <c r="C34" s="12"/>
      <c r="D34" s="33"/>
      <c r="E34" s="12"/>
      <c r="F34" s="20"/>
      <c r="G34" s="25"/>
      <c r="H34" s="21"/>
      <c r="I34" s="25"/>
      <c r="J34" s="22"/>
      <c r="K34" s="23"/>
      <c r="L34" s="17"/>
      <c r="M34" s="11">
        <f t="shared" si="11"/>
        <v>0</v>
      </c>
      <c r="N34" s="11">
        <f t="shared" si="12"/>
        <v>0</v>
      </c>
      <c r="O34" s="11">
        <f t="shared" si="13"/>
        <v>0</v>
      </c>
      <c r="P34" s="24">
        <f t="shared" si="0"/>
        <v>0</v>
      </c>
      <c r="Q34" s="25"/>
    </row>
    <row r="35" spans="1:71" ht="21.6" x14ac:dyDescent="0.3">
      <c r="A35" s="1"/>
      <c r="B35" s="50"/>
      <c r="C35" s="25"/>
      <c r="D35" s="5"/>
      <c r="E35" s="12"/>
      <c r="F35" s="7"/>
      <c r="G35" s="12"/>
      <c r="H35" s="8"/>
      <c r="I35" s="12"/>
      <c r="J35" s="9"/>
      <c r="K35" s="10"/>
      <c r="L35" s="6"/>
      <c r="M35" s="11">
        <f t="shared" si="11"/>
        <v>0</v>
      </c>
      <c r="N35" s="11">
        <f t="shared" si="12"/>
        <v>0</v>
      </c>
      <c r="O35" s="11">
        <f t="shared" si="13"/>
        <v>0</v>
      </c>
      <c r="P35" s="11">
        <f t="shared" si="0"/>
        <v>0</v>
      </c>
      <c r="Q35" s="6"/>
    </row>
    <row r="36" spans="1:71" ht="64.8" x14ac:dyDescent="0.3">
      <c r="A36" s="1"/>
      <c r="B36" s="51" t="s">
        <v>187</v>
      </c>
      <c r="C36" s="5" t="s">
        <v>188</v>
      </c>
      <c r="D36" s="5" t="s">
        <v>189</v>
      </c>
      <c r="E36" s="12" t="s">
        <v>190</v>
      </c>
      <c r="F36" s="7">
        <v>5</v>
      </c>
      <c r="G36" s="12" t="s">
        <v>191</v>
      </c>
      <c r="H36" s="8">
        <v>1</v>
      </c>
      <c r="I36" s="12" t="s">
        <v>192</v>
      </c>
      <c r="J36" s="9">
        <v>1</v>
      </c>
      <c r="K36" s="10">
        <f t="shared" si="10"/>
        <v>5</v>
      </c>
      <c r="L36" s="6" t="s">
        <v>193</v>
      </c>
      <c r="M36" s="11">
        <f t="shared" si="11"/>
        <v>5</v>
      </c>
      <c r="N36" s="11">
        <f t="shared" si="12"/>
        <v>1</v>
      </c>
      <c r="O36" s="11">
        <f t="shared" si="13"/>
        <v>1</v>
      </c>
      <c r="P36" s="11">
        <f t="shared" si="0"/>
        <v>5</v>
      </c>
      <c r="Q36" s="12"/>
    </row>
    <row r="37" spans="1:71" ht="43.2" x14ac:dyDescent="0.3">
      <c r="A37" s="1"/>
      <c r="B37" s="52"/>
      <c r="C37" s="5" t="s">
        <v>194</v>
      </c>
      <c r="D37" s="5" t="s">
        <v>195</v>
      </c>
      <c r="E37" s="12" t="s">
        <v>196</v>
      </c>
      <c r="F37" s="7">
        <v>5</v>
      </c>
      <c r="G37" s="12" t="s">
        <v>197</v>
      </c>
      <c r="H37" s="8">
        <v>1</v>
      </c>
      <c r="I37" s="12" t="s">
        <v>108</v>
      </c>
      <c r="J37" s="9">
        <v>1</v>
      </c>
      <c r="K37" s="10">
        <f t="shared" si="10"/>
        <v>5</v>
      </c>
      <c r="L37" s="6" t="s">
        <v>198</v>
      </c>
      <c r="M37" s="11">
        <f t="shared" si="11"/>
        <v>5</v>
      </c>
      <c r="N37" s="11">
        <f t="shared" si="12"/>
        <v>1</v>
      </c>
      <c r="O37" s="11">
        <f t="shared" si="13"/>
        <v>1</v>
      </c>
      <c r="P37" s="11">
        <f t="shared" si="0"/>
        <v>5</v>
      </c>
      <c r="Q37" s="12"/>
    </row>
    <row r="38" spans="1:71" ht="43.2" x14ac:dyDescent="0.3">
      <c r="A38" s="1"/>
      <c r="B38" s="52"/>
      <c r="C38" s="5" t="s">
        <v>199</v>
      </c>
      <c r="D38" s="5" t="s">
        <v>200</v>
      </c>
      <c r="E38" s="12" t="s">
        <v>201</v>
      </c>
      <c r="F38" s="7">
        <v>5</v>
      </c>
      <c r="G38" s="12" t="s">
        <v>202</v>
      </c>
      <c r="H38" s="8">
        <v>1</v>
      </c>
      <c r="I38" s="12" t="s">
        <v>203</v>
      </c>
      <c r="J38" s="9">
        <v>1</v>
      </c>
      <c r="K38" s="10">
        <f t="shared" si="10"/>
        <v>5</v>
      </c>
      <c r="L38" s="6" t="s">
        <v>204</v>
      </c>
      <c r="M38" s="11">
        <f t="shared" si="11"/>
        <v>5</v>
      </c>
      <c r="N38" s="11">
        <f t="shared" si="12"/>
        <v>1</v>
      </c>
      <c r="O38" s="11">
        <f t="shared" si="13"/>
        <v>1</v>
      </c>
      <c r="P38" s="11">
        <f t="shared" si="0"/>
        <v>5</v>
      </c>
      <c r="Q38" s="12"/>
    </row>
    <row r="39" spans="1:71" ht="43.2" x14ac:dyDescent="0.3">
      <c r="A39" s="1"/>
      <c r="B39" s="52"/>
      <c r="C39" s="5" t="s">
        <v>205</v>
      </c>
      <c r="D39" s="5" t="s">
        <v>206</v>
      </c>
      <c r="E39" s="5" t="s">
        <v>207</v>
      </c>
      <c r="F39" s="13">
        <v>5</v>
      </c>
      <c r="G39" s="5" t="s">
        <v>34</v>
      </c>
      <c r="H39" s="14">
        <v>1</v>
      </c>
      <c r="I39" s="5" t="s">
        <v>35</v>
      </c>
      <c r="J39" s="15">
        <v>3</v>
      </c>
      <c r="K39" s="16">
        <f t="shared" si="10"/>
        <v>15</v>
      </c>
      <c r="L39" s="3" t="s">
        <v>36</v>
      </c>
      <c r="M39" s="11">
        <f t="shared" si="11"/>
        <v>5</v>
      </c>
      <c r="N39" s="11">
        <f t="shared" si="12"/>
        <v>1</v>
      </c>
      <c r="O39" s="11">
        <f t="shared" si="13"/>
        <v>3</v>
      </c>
      <c r="P39" s="11">
        <f t="shared" si="0"/>
        <v>15</v>
      </c>
      <c r="Q39" s="12"/>
    </row>
    <row r="40" spans="1:71" ht="43.2" x14ac:dyDescent="0.3">
      <c r="A40" s="1"/>
      <c r="B40" s="52"/>
      <c r="C40" s="5" t="s">
        <v>208</v>
      </c>
      <c r="D40" s="5" t="s">
        <v>206</v>
      </c>
      <c r="E40" s="5" t="s">
        <v>207</v>
      </c>
      <c r="F40" s="13">
        <v>5</v>
      </c>
      <c r="G40" s="5" t="s">
        <v>37</v>
      </c>
      <c r="H40" s="14">
        <v>1</v>
      </c>
      <c r="I40" s="5" t="s">
        <v>35</v>
      </c>
      <c r="J40" s="15">
        <v>3</v>
      </c>
      <c r="K40" s="16">
        <f t="shared" si="10"/>
        <v>15</v>
      </c>
      <c r="L40" s="3" t="s">
        <v>28</v>
      </c>
      <c r="M40" s="11">
        <f t="shared" si="11"/>
        <v>5</v>
      </c>
      <c r="N40" s="11">
        <f t="shared" si="12"/>
        <v>1</v>
      </c>
      <c r="O40" s="11">
        <f t="shared" si="13"/>
        <v>3</v>
      </c>
      <c r="P40" s="11">
        <f t="shared" si="0"/>
        <v>15</v>
      </c>
      <c r="Q40" s="12"/>
    </row>
    <row r="41" spans="1:71" ht="43.2" x14ac:dyDescent="0.3">
      <c r="A41" s="1"/>
      <c r="B41" s="52"/>
      <c r="C41" s="37" t="s">
        <v>128</v>
      </c>
      <c r="D41" s="5" t="s">
        <v>129</v>
      </c>
      <c r="E41" s="12" t="s">
        <v>196</v>
      </c>
      <c r="F41" s="7">
        <v>5</v>
      </c>
      <c r="G41" s="12" t="s">
        <v>209</v>
      </c>
      <c r="H41" s="8">
        <v>1</v>
      </c>
      <c r="I41" s="12" t="s">
        <v>210</v>
      </c>
      <c r="J41" s="9">
        <v>1</v>
      </c>
      <c r="K41" s="10">
        <f t="shared" si="10"/>
        <v>5</v>
      </c>
      <c r="L41" s="6" t="s">
        <v>133</v>
      </c>
      <c r="M41" s="11">
        <f t="shared" si="11"/>
        <v>5</v>
      </c>
      <c r="N41" s="11">
        <f t="shared" si="12"/>
        <v>1</v>
      </c>
      <c r="O41" s="11">
        <f t="shared" si="13"/>
        <v>1</v>
      </c>
      <c r="P41" s="11">
        <f t="shared" si="0"/>
        <v>5</v>
      </c>
      <c r="Q41" s="12"/>
    </row>
    <row r="42" spans="1:71" ht="26.25" customHeight="1" x14ac:dyDescent="0.3">
      <c r="A42" s="1"/>
      <c r="B42" s="52"/>
      <c r="C42" s="37" t="s">
        <v>134</v>
      </c>
      <c r="D42" s="5" t="s">
        <v>55</v>
      </c>
      <c r="E42" s="12" t="s">
        <v>211</v>
      </c>
      <c r="F42" s="7">
        <v>5</v>
      </c>
      <c r="G42" s="12" t="s">
        <v>56</v>
      </c>
      <c r="H42" s="8">
        <v>1</v>
      </c>
      <c r="I42" s="12" t="s">
        <v>57</v>
      </c>
      <c r="J42" s="9">
        <v>1</v>
      </c>
      <c r="K42" s="10">
        <f t="shared" si="10"/>
        <v>5</v>
      </c>
      <c r="L42" s="6" t="s">
        <v>54</v>
      </c>
      <c r="M42" s="11">
        <f t="shared" si="11"/>
        <v>5</v>
      </c>
      <c r="N42" s="11">
        <f t="shared" si="12"/>
        <v>1</v>
      </c>
      <c r="O42" s="11">
        <f t="shared" si="13"/>
        <v>1</v>
      </c>
      <c r="P42" s="11">
        <f t="shared" si="0"/>
        <v>5</v>
      </c>
      <c r="Q42" s="12"/>
    </row>
    <row r="43" spans="1:71" ht="29.25" customHeight="1" x14ac:dyDescent="0.3">
      <c r="A43" s="1"/>
      <c r="B43" s="52"/>
      <c r="C43" s="37" t="s">
        <v>114</v>
      </c>
      <c r="D43" s="37" t="s">
        <v>58</v>
      </c>
      <c r="E43" s="12" t="s">
        <v>211</v>
      </c>
      <c r="F43" s="7">
        <v>5</v>
      </c>
      <c r="G43" s="12" t="s">
        <v>59</v>
      </c>
      <c r="H43" s="8">
        <v>1</v>
      </c>
      <c r="I43" s="12" t="s">
        <v>60</v>
      </c>
      <c r="J43" s="9">
        <v>1</v>
      </c>
      <c r="K43" s="10">
        <f t="shared" si="10"/>
        <v>5</v>
      </c>
      <c r="L43" s="6" t="s">
        <v>54</v>
      </c>
      <c r="M43" s="11">
        <f t="shared" si="11"/>
        <v>5</v>
      </c>
      <c r="N43" s="11">
        <f t="shared" si="12"/>
        <v>1</v>
      </c>
      <c r="O43" s="11">
        <f t="shared" si="13"/>
        <v>1</v>
      </c>
      <c r="P43" s="11">
        <f t="shared" si="0"/>
        <v>5</v>
      </c>
      <c r="Q43" s="12"/>
    </row>
    <row r="44" spans="1:71" ht="21.6" x14ac:dyDescent="0.3">
      <c r="A44" s="1"/>
      <c r="B44" s="52"/>
      <c r="C44" s="38" t="s">
        <v>144</v>
      </c>
      <c r="D44" s="38" t="s">
        <v>61</v>
      </c>
      <c r="E44" s="12" t="s">
        <v>212</v>
      </c>
      <c r="F44" s="7">
        <v>7</v>
      </c>
      <c r="G44" s="12" t="s">
        <v>62</v>
      </c>
      <c r="H44" s="8">
        <v>1</v>
      </c>
      <c r="I44" s="12" t="s">
        <v>60</v>
      </c>
      <c r="J44" s="9">
        <v>1</v>
      </c>
      <c r="K44" s="10">
        <v>5</v>
      </c>
      <c r="L44" s="6" t="s">
        <v>213</v>
      </c>
      <c r="M44" s="11">
        <f t="shared" si="11"/>
        <v>7</v>
      </c>
      <c r="N44" s="11">
        <f t="shared" si="12"/>
        <v>1</v>
      </c>
      <c r="O44" s="11">
        <f t="shared" si="13"/>
        <v>1</v>
      </c>
      <c r="P44" s="11">
        <f t="shared" si="0"/>
        <v>7</v>
      </c>
      <c r="Q44" s="12"/>
    </row>
    <row r="45" spans="1:71" ht="64.8" x14ac:dyDescent="0.3">
      <c r="A45" s="1"/>
      <c r="B45" s="53"/>
      <c r="C45" s="38" t="s">
        <v>181</v>
      </c>
      <c r="D45" s="5" t="s">
        <v>182</v>
      </c>
      <c r="E45" s="12" t="s">
        <v>214</v>
      </c>
      <c r="F45" s="7">
        <v>5</v>
      </c>
      <c r="G45" s="12" t="s">
        <v>215</v>
      </c>
      <c r="H45" s="8">
        <v>3</v>
      </c>
      <c r="I45" s="12" t="s">
        <v>216</v>
      </c>
      <c r="J45" s="9">
        <v>3</v>
      </c>
      <c r="K45" s="10">
        <f t="shared" si="10"/>
        <v>45</v>
      </c>
      <c r="L45" s="6" t="s">
        <v>185</v>
      </c>
      <c r="M45" s="11">
        <f t="shared" si="11"/>
        <v>5</v>
      </c>
      <c r="N45" s="11">
        <f t="shared" si="12"/>
        <v>3</v>
      </c>
      <c r="O45" s="11">
        <f t="shared" si="13"/>
        <v>3</v>
      </c>
      <c r="P45" s="11">
        <f t="shared" si="0"/>
        <v>45</v>
      </c>
      <c r="Q45" s="12"/>
    </row>
    <row r="46" spans="1:71" ht="43.2" x14ac:dyDescent="0.3">
      <c r="B46" s="48" t="s">
        <v>217</v>
      </c>
      <c r="C46" s="39" t="s">
        <v>218</v>
      </c>
      <c r="D46" s="39" t="s">
        <v>219</v>
      </c>
      <c r="E46" s="39" t="s">
        <v>220</v>
      </c>
      <c r="F46" s="13">
        <v>7</v>
      </c>
      <c r="G46" s="39" t="s">
        <v>219</v>
      </c>
      <c r="H46" s="14">
        <v>1</v>
      </c>
      <c r="I46" s="39" t="s">
        <v>221</v>
      </c>
      <c r="J46" s="15">
        <v>1</v>
      </c>
      <c r="K46" s="16">
        <f t="shared" si="10"/>
        <v>7</v>
      </c>
      <c r="L46" s="26" t="s">
        <v>222</v>
      </c>
      <c r="M46" s="11">
        <f t="shared" si="11"/>
        <v>7</v>
      </c>
      <c r="N46" s="11">
        <f t="shared" si="12"/>
        <v>1</v>
      </c>
      <c r="O46" s="11">
        <f t="shared" si="13"/>
        <v>1</v>
      </c>
      <c r="P46" s="11">
        <f t="shared" si="0"/>
        <v>7</v>
      </c>
      <c r="Q46" s="12"/>
    </row>
    <row r="47" spans="1:71" ht="43.2" x14ac:dyDescent="0.3">
      <c r="B47" s="49"/>
      <c r="C47" s="42" t="s">
        <v>223</v>
      </c>
      <c r="D47" s="5" t="s">
        <v>224</v>
      </c>
      <c r="E47" s="12" t="s">
        <v>225</v>
      </c>
      <c r="F47" s="7">
        <v>5</v>
      </c>
      <c r="G47" s="36" t="s">
        <v>226</v>
      </c>
      <c r="H47" s="8">
        <v>1</v>
      </c>
      <c r="I47" s="12" t="s">
        <v>227</v>
      </c>
      <c r="J47" s="9">
        <v>3</v>
      </c>
      <c r="K47" s="10">
        <f t="shared" si="10"/>
        <v>15</v>
      </c>
      <c r="L47" s="6" t="s">
        <v>227</v>
      </c>
      <c r="M47" s="11">
        <f t="shared" si="11"/>
        <v>5</v>
      </c>
      <c r="N47" s="11">
        <f t="shared" si="12"/>
        <v>1</v>
      </c>
      <c r="O47" s="11">
        <f t="shared" si="13"/>
        <v>3</v>
      </c>
      <c r="P47" s="11">
        <f t="shared" si="0"/>
        <v>15</v>
      </c>
      <c r="Q47" s="12"/>
    </row>
    <row r="48" spans="1:71" ht="43.2" x14ac:dyDescent="0.3">
      <c r="B48" s="49"/>
      <c r="C48" s="43"/>
      <c r="D48" s="12" t="s">
        <v>228</v>
      </c>
      <c r="E48" s="12" t="s">
        <v>229</v>
      </c>
      <c r="F48" s="13">
        <v>10</v>
      </c>
      <c r="G48" s="12" t="s">
        <v>230</v>
      </c>
      <c r="H48" s="14">
        <v>1</v>
      </c>
      <c r="I48" s="39" t="s">
        <v>231</v>
      </c>
      <c r="J48" s="15">
        <v>1</v>
      </c>
      <c r="K48" s="16">
        <f t="shared" si="10"/>
        <v>10</v>
      </c>
      <c r="L48" s="6"/>
      <c r="M48" s="11"/>
      <c r="N48" s="11"/>
      <c r="O48" s="11"/>
      <c r="P48" s="11"/>
      <c r="Q48" s="12"/>
    </row>
    <row r="49" spans="2:21" ht="21.6" x14ac:dyDescent="0.3">
      <c r="B49" s="49"/>
      <c r="C49" s="44"/>
      <c r="D49" s="12" t="s">
        <v>232</v>
      </c>
      <c r="E49" s="39" t="s">
        <v>233</v>
      </c>
      <c r="F49" s="13">
        <v>10</v>
      </c>
      <c r="G49" s="12" t="s">
        <v>234</v>
      </c>
      <c r="H49" s="14">
        <v>1</v>
      </c>
      <c r="I49" s="39" t="s">
        <v>231</v>
      </c>
      <c r="J49" s="15">
        <v>1</v>
      </c>
      <c r="K49" s="16">
        <f t="shared" si="10"/>
        <v>10</v>
      </c>
      <c r="L49" s="6"/>
      <c r="M49" s="11"/>
      <c r="N49" s="11"/>
      <c r="O49" s="11"/>
      <c r="P49" s="11"/>
      <c r="Q49" s="12"/>
    </row>
    <row r="50" spans="2:21" ht="64.8" x14ac:dyDescent="0.3">
      <c r="B50" s="49"/>
      <c r="C50" s="5" t="s">
        <v>235</v>
      </c>
      <c r="D50" s="5" t="s">
        <v>66</v>
      </c>
      <c r="E50" s="5" t="s">
        <v>236</v>
      </c>
      <c r="F50" s="13">
        <v>7</v>
      </c>
      <c r="G50" s="12" t="s">
        <v>237</v>
      </c>
      <c r="H50" s="8">
        <v>1</v>
      </c>
      <c r="I50" s="12" t="s">
        <v>238</v>
      </c>
      <c r="J50" s="9">
        <v>5</v>
      </c>
      <c r="K50" s="10">
        <f t="shared" si="10"/>
        <v>35</v>
      </c>
      <c r="L50" s="6" t="s">
        <v>239</v>
      </c>
      <c r="M50" s="11">
        <f t="shared" si="11"/>
        <v>7</v>
      </c>
      <c r="N50" s="11">
        <f t="shared" si="12"/>
        <v>1</v>
      </c>
      <c r="O50" s="11">
        <f t="shared" si="13"/>
        <v>5</v>
      </c>
      <c r="P50" s="11">
        <f t="shared" si="0"/>
        <v>35</v>
      </c>
      <c r="Q50" s="12"/>
    </row>
    <row r="51" spans="2:21" ht="43.2" x14ac:dyDescent="0.3">
      <c r="B51" s="49"/>
      <c r="C51" s="5" t="s">
        <v>240</v>
      </c>
      <c r="D51" s="5" t="s">
        <v>241</v>
      </c>
      <c r="E51" s="12" t="s">
        <v>242</v>
      </c>
      <c r="F51" s="7">
        <v>5</v>
      </c>
      <c r="G51" s="12" t="s">
        <v>243</v>
      </c>
      <c r="H51" s="8">
        <v>1</v>
      </c>
      <c r="I51" s="12" t="s">
        <v>244</v>
      </c>
      <c r="J51" s="9">
        <v>1</v>
      </c>
      <c r="K51" s="10">
        <f t="shared" si="10"/>
        <v>5</v>
      </c>
      <c r="L51" s="6" t="s">
        <v>213</v>
      </c>
      <c r="M51" s="11">
        <f t="shared" si="11"/>
        <v>5</v>
      </c>
      <c r="N51" s="11">
        <f t="shared" si="12"/>
        <v>1</v>
      </c>
      <c r="O51" s="11">
        <f t="shared" si="13"/>
        <v>1</v>
      </c>
      <c r="P51" s="11">
        <f t="shared" si="0"/>
        <v>5</v>
      </c>
      <c r="Q51" s="12"/>
    </row>
    <row r="52" spans="2:21" ht="64.8" x14ac:dyDescent="0.3">
      <c r="B52" s="49"/>
      <c r="C52" s="5" t="s">
        <v>245</v>
      </c>
      <c r="D52" s="5" t="s">
        <v>246</v>
      </c>
      <c r="E52" s="12" t="s">
        <v>247</v>
      </c>
      <c r="F52" s="7">
        <v>5</v>
      </c>
      <c r="G52" s="12" t="s">
        <v>248</v>
      </c>
      <c r="H52" s="8">
        <v>1</v>
      </c>
      <c r="I52" s="12" t="s">
        <v>249</v>
      </c>
      <c r="J52" s="9">
        <v>5</v>
      </c>
      <c r="K52" s="10">
        <f t="shared" si="10"/>
        <v>25</v>
      </c>
      <c r="L52" s="6" t="s">
        <v>227</v>
      </c>
      <c r="M52" s="11">
        <f t="shared" si="11"/>
        <v>5</v>
      </c>
      <c r="N52" s="11">
        <f t="shared" si="12"/>
        <v>1</v>
      </c>
      <c r="O52" s="11">
        <f t="shared" si="13"/>
        <v>5</v>
      </c>
      <c r="P52" s="11">
        <f t="shared" si="0"/>
        <v>25</v>
      </c>
      <c r="Q52" s="12"/>
    </row>
    <row r="53" spans="2:21" ht="21.6" x14ac:dyDescent="0.3">
      <c r="B53" s="50"/>
      <c r="C53" s="38" t="s">
        <v>181</v>
      </c>
      <c r="D53" s="5" t="s">
        <v>182</v>
      </c>
      <c r="E53" s="12" t="s">
        <v>250</v>
      </c>
      <c r="F53" s="7">
        <v>5</v>
      </c>
      <c r="G53" s="12" t="s">
        <v>251</v>
      </c>
      <c r="H53" s="8">
        <v>3</v>
      </c>
      <c r="I53" s="12" t="s">
        <v>252</v>
      </c>
      <c r="J53" s="9">
        <v>5</v>
      </c>
      <c r="K53" s="10">
        <f t="shared" si="10"/>
        <v>75</v>
      </c>
      <c r="L53" s="6" t="s">
        <v>252</v>
      </c>
      <c r="M53" s="11">
        <f t="shared" si="11"/>
        <v>5</v>
      </c>
      <c r="N53" s="11">
        <f t="shared" si="12"/>
        <v>3</v>
      </c>
      <c r="O53" s="11">
        <f t="shared" si="13"/>
        <v>5</v>
      </c>
      <c r="P53" s="11">
        <f t="shared" si="0"/>
        <v>75</v>
      </c>
      <c r="Q53" s="12"/>
    </row>
    <row r="54" spans="2:21" ht="21.6" x14ac:dyDescent="0.3">
      <c r="B54" s="6" t="s">
        <v>253</v>
      </c>
      <c r="C54" s="35"/>
      <c r="D54" s="12"/>
      <c r="E54" s="12"/>
      <c r="F54" s="7"/>
      <c r="G54" s="12"/>
      <c r="H54" s="8"/>
      <c r="I54" s="12"/>
      <c r="J54" s="9"/>
      <c r="K54" s="10"/>
      <c r="L54" s="6"/>
      <c r="M54" s="11"/>
      <c r="N54" s="11"/>
      <c r="O54" s="11"/>
      <c r="P54" s="11"/>
      <c r="Q54" s="12"/>
    </row>
    <row r="55" spans="2:21" ht="21.6" x14ac:dyDescent="0.3">
      <c r="D55" s="40"/>
      <c r="E55" s="40"/>
      <c r="G55" s="40"/>
    </row>
    <row r="56" spans="2:21" ht="21" x14ac:dyDescent="0.3">
      <c r="B56" s="27"/>
      <c r="C56" s="41"/>
      <c r="D56" s="34"/>
      <c r="E56" s="34"/>
      <c r="F56" s="34"/>
      <c r="G56" s="34"/>
      <c r="H56" s="28"/>
      <c r="I56" s="34"/>
      <c r="J56" s="34"/>
      <c r="K56" s="34"/>
      <c r="L56" s="27"/>
      <c r="M56" s="34"/>
      <c r="N56" s="27"/>
      <c r="O56" s="27"/>
      <c r="P56" s="27"/>
      <c r="Q56" s="27"/>
    </row>
    <row r="57" spans="2:21" ht="21" x14ac:dyDescent="0.3">
      <c r="B57" s="27"/>
      <c r="C57" s="41"/>
      <c r="D57" s="34"/>
      <c r="E57" s="34"/>
      <c r="F57" s="34"/>
      <c r="G57" s="34"/>
      <c r="H57" s="28"/>
      <c r="I57" s="34"/>
      <c r="J57" s="34"/>
      <c r="K57" s="34"/>
      <c r="L57" s="27"/>
      <c r="M57" s="34"/>
      <c r="N57" s="27"/>
      <c r="O57" s="27"/>
      <c r="P57" s="27"/>
      <c r="Q57" s="27"/>
    </row>
    <row r="58" spans="2:21" ht="21" x14ac:dyDescent="0.3">
      <c r="B58" s="27"/>
      <c r="C58" s="41"/>
      <c r="D58" s="34"/>
      <c r="E58" s="34"/>
      <c r="F58" s="34"/>
      <c r="G58" s="34"/>
      <c r="H58" s="27"/>
      <c r="I58" s="34"/>
      <c r="J58" s="34"/>
      <c r="K58" s="34"/>
      <c r="L58" s="27"/>
      <c r="M58" s="34"/>
      <c r="N58" s="27"/>
      <c r="O58" s="27"/>
      <c r="P58" s="27"/>
      <c r="Q58" s="27"/>
    </row>
    <row r="59" spans="2:21" ht="21" x14ac:dyDescent="0.3">
      <c r="B59" s="27"/>
      <c r="C59" s="34"/>
      <c r="D59" s="34"/>
      <c r="E59" s="34"/>
      <c r="F59" s="34"/>
      <c r="G59" s="34"/>
      <c r="H59" s="28"/>
      <c r="I59" s="34"/>
      <c r="J59" s="34"/>
      <c r="K59" s="34"/>
      <c r="L59" s="27"/>
      <c r="M59" s="34"/>
      <c r="N59" s="27"/>
      <c r="O59" s="27"/>
      <c r="P59" s="27"/>
      <c r="Q59" s="27"/>
    </row>
    <row r="60" spans="2:21" ht="21" x14ac:dyDescent="0.3">
      <c r="B60" s="27"/>
      <c r="C60" s="41"/>
      <c r="D60" s="34"/>
      <c r="E60" s="34"/>
      <c r="F60" s="34"/>
      <c r="G60" s="34"/>
      <c r="H60" s="28"/>
      <c r="I60" s="34"/>
      <c r="J60" s="34"/>
      <c r="K60" s="34"/>
      <c r="L60" s="27"/>
      <c r="M60" s="34"/>
      <c r="N60" s="27"/>
      <c r="O60" s="27"/>
      <c r="P60" s="27"/>
      <c r="Q60" s="27"/>
    </row>
    <row r="61" spans="2:21" ht="21" x14ac:dyDescent="0.3">
      <c r="B61" s="27"/>
      <c r="C61" s="41"/>
      <c r="D61" s="34"/>
      <c r="E61" s="34"/>
      <c r="F61" s="34"/>
      <c r="G61" s="34"/>
      <c r="H61" s="27"/>
      <c r="I61" s="34"/>
      <c r="J61" s="34"/>
      <c r="K61" s="34"/>
      <c r="L61" s="27"/>
      <c r="M61" s="34"/>
      <c r="N61" s="27"/>
      <c r="O61" s="27"/>
      <c r="P61" s="27"/>
      <c r="Q61" s="27"/>
    </row>
    <row r="62" spans="2:21" ht="21" x14ac:dyDescent="0.3">
      <c r="B62" s="27"/>
      <c r="C62" s="41"/>
      <c r="D62" s="34"/>
      <c r="E62" s="34"/>
      <c r="F62" s="34"/>
      <c r="G62" s="34"/>
      <c r="H62" s="27"/>
      <c r="I62" s="34"/>
      <c r="J62" s="34"/>
      <c r="K62" s="34"/>
      <c r="L62" s="27"/>
      <c r="M62" s="34"/>
      <c r="N62" s="27"/>
      <c r="O62" s="27"/>
      <c r="P62" s="27"/>
      <c r="Q62" s="27"/>
    </row>
    <row r="63" spans="2:21" ht="21" x14ac:dyDescent="0.3">
      <c r="B63" s="27"/>
      <c r="C63" s="41"/>
      <c r="D63" s="34"/>
      <c r="E63" s="34"/>
      <c r="F63" s="34"/>
      <c r="G63" s="34"/>
      <c r="H63" s="27"/>
      <c r="I63" s="34"/>
      <c r="J63" s="34"/>
      <c r="K63" s="34"/>
      <c r="L63" s="27"/>
      <c r="M63" s="34"/>
      <c r="N63" s="27"/>
      <c r="O63" s="27"/>
      <c r="P63" s="27"/>
      <c r="Q63" s="27"/>
    </row>
    <row r="64" spans="2:21" ht="23.4" x14ac:dyDescent="0.3">
      <c r="B64" s="27"/>
      <c r="C64" s="41"/>
      <c r="D64" s="34"/>
      <c r="E64" s="34"/>
      <c r="F64" s="34"/>
      <c r="G64" s="34"/>
      <c r="H64" s="27"/>
      <c r="I64" s="34"/>
      <c r="J64" s="34"/>
      <c r="K64" s="34"/>
      <c r="L64" s="27"/>
      <c r="M64" s="34"/>
      <c r="N64" s="27"/>
      <c r="O64" s="27"/>
      <c r="P64" s="27"/>
      <c r="Q64" s="27"/>
      <c r="U64" s="29" t="s">
        <v>69</v>
      </c>
    </row>
    <row r="65" spans="2:17" ht="21" x14ac:dyDescent="0.3">
      <c r="C65" s="41"/>
      <c r="D65" s="34"/>
      <c r="E65" s="34"/>
      <c r="F65" s="34"/>
      <c r="G65" s="34"/>
      <c r="H65" s="27"/>
      <c r="I65" s="34"/>
      <c r="J65" s="34"/>
      <c r="K65" s="34"/>
      <c r="L65" s="27"/>
      <c r="M65" s="34"/>
      <c r="N65" s="27"/>
      <c r="O65" s="27"/>
      <c r="P65" s="27"/>
      <c r="Q65" s="27"/>
    </row>
    <row r="66" spans="2:17" ht="21" x14ac:dyDescent="0.3">
      <c r="B66" s="27"/>
      <c r="C66" s="41"/>
      <c r="D66" s="34"/>
      <c r="E66" s="34"/>
      <c r="F66" s="34"/>
      <c r="G66" s="34"/>
      <c r="H66" s="27"/>
      <c r="I66" s="34"/>
      <c r="J66" s="34"/>
      <c r="K66" s="34"/>
      <c r="L66" s="27"/>
      <c r="M66" s="34"/>
      <c r="N66" s="27"/>
      <c r="O66" s="27"/>
      <c r="P66" s="27"/>
      <c r="Q66" s="27"/>
    </row>
    <row r="67" spans="2:17" ht="21" x14ac:dyDescent="0.3">
      <c r="B67" s="27"/>
      <c r="C67" s="34"/>
      <c r="D67" s="34"/>
      <c r="E67" s="34"/>
      <c r="F67" s="34"/>
      <c r="G67" s="34"/>
      <c r="H67" s="27"/>
      <c r="I67" s="34"/>
      <c r="J67" s="34"/>
      <c r="K67" s="34"/>
      <c r="L67" s="27"/>
      <c r="M67" s="34"/>
      <c r="N67" s="27"/>
      <c r="O67" s="27"/>
      <c r="P67" s="27"/>
      <c r="Q67" s="27"/>
    </row>
    <row r="68" spans="2:17" ht="21" x14ac:dyDescent="0.3">
      <c r="B68" s="27"/>
      <c r="C68" s="41"/>
      <c r="D68" s="34"/>
      <c r="E68" s="34"/>
      <c r="F68" s="34"/>
      <c r="G68" s="34"/>
      <c r="H68" s="27"/>
      <c r="I68" s="34"/>
      <c r="J68" s="34"/>
      <c r="K68" s="34"/>
      <c r="L68" s="27"/>
      <c r="M68" s="34"/>
      <c r="N68" s="27"/>
      <c r="O68" s="27"/>
      <c r="P68" s="27"/>
      <c r="Q68" s="27"/>
    </row>
    <row r="69" spans="2:17" ht="21" x14ac:dyDescent="0.3">
      <c r="B69" s="27"/>
      <c r="C69" s="41"/>
      <c r="D69" s="34"/>
      <c r="E69" s="34"/>
      <c r="F69" s="34"/>
      <c r="G69" s="34"/>
      <c r="H69" s="27"/>
      <c r="I69" s="34"/>
      <c r="J69" s="34"/>
      <c r="K69" s="34"/>
      <c r="L69" s="27"/>
      <c r="M69" s="34"/>
      <c r="N69" s="27"/>
      <c r="O69" s="27"/>
      <c r="P69" s="27"/>
      <c r="Q69" s="27"/>
    </row>
    <row r="70" spans="2:17" ht="21" x14ac:dyDescent="0.3">
      <c r="B70" s="27"/>
      <c r="C70" s="41"/>
      <c r="D70" s="34"/>
      <c r="E70" s="34"/>
      <c r="F70" s="34"/>
      <c r="G70" s="34"/>
      <c r="H70" s="27"/>
      <c r="I70" s="34"/>
      <c r="J70" s="34"/>
      <c r="K70" s="34"/>
      <c r="L70" s="27"/>
      <c r="M70" s="34"/>
      <c r="N70" s="27"/>
      <c r="O70" s="27"/>
      <c r="P70" s="27"/>
      <c r="Q70" s="27"/>
    </row>
    <row r="71" spans="2:17" ht="21" x14ac:dyDescent="0.3">
      <c r="B71" s="27"/>
      <c r="C71" s="41"/>
      <c r="D71" s="34"/>
      <c r="E71" s="34"/>
      <c r="F71" s="34"/>
      <c r="G71" s="34"/>
      <c r="H71" s="27"/>
      <c r="I71" s="34"/>
      <c r="J71" s="34"/>
      <c r="K71" s="34"/>
      <c r="L71" s="27"/>
      <c r="M71" s="34"/>
      <c r="N71" s="27"/>
      <c r="O71" s="27"/>
      <c r="P71" s="27"/>
      <c r="Q71" s="27"/>
    </row>
    <row r="72" spans="2:17" ht="21" x14ac:dyDescent="0.3">
      <c r="B72" s="1"/>
      <c r="C72" s="41"/>
      <c r="D72" s="34"/>
      <c r="E72" s="34"/>
      <c r="F72" s="34"/>
      <c r="G72" s="34"/>
      <c r="H72" s="1"/>
      <c r="I72" s="34"/>
      <c r="J72" s="34"/>
      <c r="K72" s="34"/>
      <c r="L72" s="1"/>
      <c r="M72" s="34"/>
      <c r="N72" s="1"/>
      <c r="O72" s="1"/>
      <c r="P72" s="1"/>
      <c r="Q72" s="1"/>
    </row>
    <row r="73" spans="2:17" ht="21" x14ac:dyDescent="0.3">
      <c r="B73" s="1"/>
      <c r="C73" s="34"/>
      <c r="D73" s="34"/>
      <c r="E73" s="34"/>
      <c r="F73" s="34"/>
      <c r="G73" s="34"/>
      <c r="H73" s="1"/>
      <c r="I73" s="34"/>
      <c r="J73" s="34"/>
      <c r="K73" s="34"/>
      <c r="L73" s="1"/>
      <c r="M73" s="34"/>
      <c r="N73" s="1"/>
      <c r="O73" s="1"/>
      <c r="P73" s="1"/>
      <c r="Q73" s="1"/>
    </row>
    <row r="74" spans="2:17" ht="21" x14ac:dyDescent="0.3">
      <c r="B74" s="1"/>
      <c r="C74" s="34"/>
      <c r="D74" s="34"/>
      <c r="E74" s="34"/>
      <c r="F74" s="34"/>
      <c r="G74" s="34"/>
      <c r="H74" s="1"/>
      <c r="I74" s="34"/>
      <c r="J74" s="34"/>
      <c r="K74" s="34"/>
      <c r="L74" s="1"/>
      <c r="M74" s="34"/>
      <c r="N74" s="1"/>
      <c r="O74" s="1"/>
      <c r="P74" s="1"/>
      <c r="Q74" s="1"/>
    </row>
    <row r="75" spans="2:17" ht="21" x14ac:dyDescent="0.3">
      <c r="B75" s="1"/>
      <c r="C75" s="34"/>
      <c r="D75" s="34"/>
      <c r="E75" s="34"/>
      <c r="F75" s="34"/>
      <c r="G75" s="34"/>
      <c r="H75" s="1"/>
      <c r="I75" s="34"/>
      <c r="J75" s="34"/>
      <c r="K75" s="34"/>
      <c r="L75" s="1"/>
      <c r="M75" s="34"/>
      <c r="N75" s="1"/>
      <c r="O75" s="1"/>
      <c r="P75" s="1"/>
      <c r="Q75" s="1"/>
    </row>
    <row r="76" spans="2:17" ht="21" x14ac:dyDescent="0.3">
      <c r="B76" s="1"/>
      <c r="C76" s="34"/>
      <c r="D76" s="34"/>
      <c r="E76" s="34"/>
      <c r="F76" s="34"/>
      <c r="G76" s="34"/>
      <c r="H76" s="1"/>
      <c r="I76" s="34"/>
      <c r="J76" s="34"/>
      <c r="K76" s="34"/>
      <c r="L76" s="1"/>
      <c r="M76" s="34"/>
      <c r="N76" s="1"/>
      <c r="O76" s="1"/>
      <c r="P76" s="1"/>
      <c r="Q76" s="1"/>
    </row>
    <row r="77" spans="2:17" ht="21" x14ac:dyDescent="0.3">
      <c r="B77" s="1"/>
      <c r="C77" s="34"/>
      <c r="D77" s="34"/>
      <c r="E77" s="34"/>
      <c r="F77" s="34"/>
      <c r="G77" s="34"/>
      <c r="H77" s="1"/>
      <c r="I77" s="34"/>
      <c r="J77" s="34"/>
      <c r="K77" s="34"/>
      <c r="L77" s="1"/>
      <c r="M77" s="34"/>
      <c r="N77" s="1"/>
      <c r="O77" s="1"/>
      <c r="P77" s="1"/>
      <c r="Q77" s="1"/>
    </row>
    <row r="78" spans="2:17" ht="21" x14ac:dyDescent="0.3">
      <c r="B78" s="1"/>
      <c r="C78" s="34"/>
      <c r="D78" s="34"/>
      <c r="E78" s="34"/>
      <c r="F78" s="34"/>
      <c r="G78" s="34"/>
      <c r="H78" s="1"/>
      <c r="I78" s="34"/>
      <c r="J78" s="34"/>
      <c r="K78" s="34"/>
      <c r="L78" s="1"/>
      <c r="M78" s="34"/>
      <c r="N78" s="1"/>
      <c r="O78" s="1"/>
      <c r="P78" s="1"/>
      <c r="Q78" s="1"/>
    </row>
    <row r="79" spans="2:17" ht="21" x14ac:dyDescent="0.3">
      <c r="B79" s="1"/>
      <c r="C79" s="34"/>
      <c r="D79" s="34"/>
      <c r="E79" s="34"/>
      <c r="F79" s="34"/>
      <c r="G79" s="34"/>
      <c r="H79" s="1"/>
      <c r="I79" s="34"/>
      <c r="J79" s="34"/>
      <c r="K79" s="34"/>
      <c r="L79" s="1"/>
      <c r="M79" s="34"/>
      <c r="N79" s="1"/>
      <c r="O79" s="1"/>
      <c r="P79" s="1"/>
      <c r="Q79" s="1"/>
    </row>
    <row r="80" spans="2:17" ht="21" x14ac:dyDescent="0.3">
      <c r="B80" s="1"/>
      <c r="C80" s="34"/>
      <c r="D80" s="34"/>
      <c r="E80" s="34"/>
      <c r="F80" s="34"/>
      <c r="G80" s="34"/>
      <c r="H80" s="1"/>
      <c r="I80" s="34"/>
      <c r="J80" s="34"/>
      <c r="K80" s="34"/>
      <c r="L80" s="1"/>
      <c r="M80" s="34"/>
      <c r="N80" s="1"/>
      <c r="O80" s="1"/>
      <c r="P80" s="1"/>
      <c r="Q80" s="1"/>
    </row>
    <row r="81" spans="2:17" ht="21" x14ac:dyDescent="0.3">
      <c r="B81" s="1"/>
      <c r="C81" s="34"/>
      <c r="D81" s="34"/>
      <c r="E81" s="34"/>
      <c r="F81" s="34"/>
      <c r="G81" s="34"/>
      <c r="H81" s="1"/>
      <c r="I81" s="34"/>
      <c r="J81" s="34"/>
      <c r="K81" s="34"/>
      <c r="L81" s="1"/>
      <c r="M81" s="34"/>
      <c r="N81" s="1"/>
      <c r="O81" s="1"/>
      <c r="P81" s="1"/>
      <c r="Q81" s="1"/>
    </row>
    <row r="82" spans="2:17" ht="21" x14ac:dyDescent="0.3">
      <c r="B82" s="1"/>
      <c r="C82" s="34"/>
      <c r="D82" s="34"/>
      <c r="E82" s="34"/>
      <c r="F82" s="34"/>
      <c r="G82" s="34"/>
      <c r="H82" s="1"/>
      <c r="I82" s="34"/>
      <c r="J82" s="34"/>
      <c r="K82" s="34"/>
      <c r="L82" s="1"/>
      <c r="M82" s="34"/>
      <c r="N82" s="1"/>
      <c r="O82" s="1"/>
      <c r="P82" s="1"/>
      <c r="Q82" s="1"/>
    </row>
    <row r="83" spans="2:17" ht="21" x14ac:dyDescent="0.3">
      <c r="B83" s="1"/>
      <c r="C83" s="34"/>
      <c r="D83" s="34"/>
      <c r="E83" s="34"/>
      <c r="F83" s="34"/>
      <c r="G83" s="34"/>
      <c r="H83" s="1"/>
      <c r="I83" s="34"/>
      <c r="J83" s="34"/>
      <c r="K83" s="34"/>
      <c r="L83" s="1"/>
      <c r="M83" s="34"/>
      <c r="N83" s="1"/>
      <c r="O83" s="1"/>
      <c r="P83" s="1"/>
      <c r="Q83" s="1"/>
    </row>
    <row r="84" spans="2:17" ht="21" x14ac:dyDescent="0.3">
      <c r="B84" s="1"/>
      <c r="C84" s="34"/>
      <c r="D84" s="34"/>
      <c r="E84" s="34"/>
      <c r="F84" s="34"/>
      <c r="G84" s="34"/>
      <c r="H84" s="1"/>
      <c r="I84" s="34"/>
      <c r="J84" s="34"/>
      <c r="K84" s="34"/>
      <c r="L84" s="1"/>
      <c r="M84" s="34"/>
      <c r="N84" s="1"/>
      <c r="O84" s="1"/>
      <c r="P84" s="1"/>
      <c r="Q84" s="1"/>
    </row>
  </sheetData>
  <mergeCells count="8">
    <mergeCell ref="B46:B53"/>
    <mergeCell ref="C47:C49"/>
    <mergeCell ref="B3:B11"/>
    <mergeCell ref="C8:C10"/>
    <mergeCell ref="B12:B26"/>
    <mergeCell ref="B27:B33"/>
    <mergeCell ref="B34:B35"/>
    <mergeCell ref="B36:B4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PI_煥鈞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2026-07-20T01:38:27Z</dcterms:modified>
  <cp:category/>
  <cp:contentStatus/>
</cp:coreProperties>
</file>