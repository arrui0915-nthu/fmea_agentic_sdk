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00C16DAD-6C63-4244-9CE1-3B00A3746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&amp;S_PR_Litho" sheetId="9" r:id="rId1"/>
  </sheets>
  <definedNames>
    <definedName name="_xlnm.Print_Area" localSheetId="0">'K&amp;S_PR_Litho'!$D$2:$N$24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" i="9" l="1"/>
  <c r="M23" i="9"/>
  <c r="M22" i="9"/>
  <c r="M21" i="9"/>
  <c r="M20" i="9"/>
  <c r="Y19" i="9"/>
  <c r="M19" i="9"/>
  <c r="M18" i="9"/>
  <c r="M17" i="9"/>
  <c r="M16" i="9"/>
  <c r="M15" i="9"/>
  <c r="M14" i="9"/>
  <c r="M13" i="9"/>
  <c r="M12" i="9"/>
  <c r="M11" i="9"/>
  <c r="M10" i="9"/>
  <c r="M7" i="9"/>
  <c r="M6" i="9"/>
  <c r="M5" i="9"/>
  <c r="M4" i="9"/>
  <c r="M3" i="9"/>
</calcChain>
</file>

<file path=xl/sharedStrings.xml><?xml version="1.0" encoding="utf-8"?>
<sst xmlns="http://schemas.openxmlformats.org/spreadsheetml/2006/main" count="159" uniqueCount="127">
  <si>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</si>
  <si>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</si>
  <si>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</si>
  <si>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</si>
  <si>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</si>
  <si>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</si>
  <si>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</si>
  <si>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</si>
  <si>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</si>
  <si>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</si>
  <si>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</si>
  <si>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</si>
  <si>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>.</t>
    <phoneticPr fontId="1" type="noConversion"/>
  </si>
  <si>
    <t>機台環境Particle監測</t>
    <phoneticPr fontId="1" type="noConversion"/>
  </si>
  <si>
    <t>Particle high</t>
    <phoneticPr fontId="1" type="noConversion"/>
  </si>
  <si>
    <t>Yield loss</t>
    <phoneticPr fontId="1" type="noConversion"/>
  </si>
  <si>
    <t>RDL PR litho process PFMEA</t>
    <phoneticPr fontId="1" type="noConversion"/>
  </si>
  <si>
    <t>1. 晶圓進料檢查</t>
    <phoneticPr fontId="1" type="noConversion"/>
  </si>
  <si>
    <t>晶片表面無刮痕、顆粒、凹凸過大(&lt;1.66um)、warp(&lt;300um?)</t>
    <phoneticPr fontId="1" type="noConversion"/>
  </si>
  <si>
    <t>濺影產生造成光阻塗佈不均</t>
    <phoneticPr fontId="1" type="noConversion"/>
  </si>
  <si>
    <t>線路斷路或殘留</t>
    <phoneticPr fontId="1" type="noConversion"/>
  </si>
  <si>
    <t xml:space="preserve">
進貨無抽樣到</t>
    <phoneticPr fontId="1" type="noConversion"/>
  </si>
  <si>
    <t>camtek、NANO、CS-10、OM、Fogal</t>
    <phoneticPr fontId="1" type="noConversion"/>
  </si>
  <si>
    <t>進貨檢驗片數全檢確認
1.請QC提供目前批次Shuttle Particle level
2.請QC提供目前批次Warp level</t>
    <phoneticPr fontId="1" type="noConversion"/>
  </si>
  <si>
    <t>wafer notch 辨識</t>
    <phoneticPr fontId="1" type="noConversion"/>
  </si>
  <si>
    <t>notch 誤認</t>
    <phoneticPr fontId="1" type="noConversion"/>
  </si>
  <si>
    <t>機台無法辨識進行取放片</t>
    <phoneticPr fontId="1" type="noConversion"/>
  </si>
  <si>
    <t>玻璃wafer邊緣不正常透光</t>
    <phoneticPr fontId="1" type="noConversion"/>
  </si>
  <si>
    <t>目視檢
機台alarm</t>
    <phoneticPr fontId="1" type="noConversion"/>
  </si>
  <si>
    <t>前程邊緣蝕刻需要乾淨</t>
    <phoneticPr fontId="1" type="noConversion"/>
  </si>
  <si>
    <t>Wafer背面無汙染
基板吸取真空度</t>
    <phoneticPr fontId="1" type="noConversion"/>
  </si>
  <si>
    <t>機台警示(真空度過低)</t>
    <phoneticPr fontId="1" type="noConversion"/>
  </si>
  <si>
    <t>部分位置失焦，無法進行曝光</t>
    <phoneticPr fontId="1" type="noConversion"/>
  </si>
  <si>
    <t>目視檢</t>
    <phoneticPr fontId="1" type="noConversion"/>
  </si>
  <si>
    <t>1.進貨檢驗片數全檢擦拭
2.清chuck</t>
    <phoneticPr fontId="1" type="noConversion"/>
  </si>
  <si>
    <t>廠務系統變異</t>
    <phoneticPr fontId="1" type="noConversion"/>
  </si>
  <si>
    <t>CS-10</t>
    <phoneticPr fontId="1" type="noConversion"/>
  </si>
  <si>
    <t>環境擺測試控片，前後值分析</t>
    <phoneticPr fontId="1" type="noConversion"/>
  </si>
  <si>
    <t>2. 光阻塗佈</t>
    <phoneticPr fontId="1" type="noConversion"/>
  </si>
  <si>
    <t>光阻原料品質</t>
    <phoneticPr fontId="1" type="noConversion"/>
  </si>
  <si>
    <t>變質或厚度變異</t>
    <phoneticPr fontId="1" type="noConversion"/>
  </si>
  <si>
    <t>解析度不佳及CD變異</t>
    <phoneticPr fontId="1" type="noConversion"/>
  </si>
  <si>
    <t>過期或環境影響</t>
    <phoneticPr fontId="1" type="noConversion"/>
  </si>
  <si>
    <t>NANO厚度量測及CD量測</t>
    <phoneticPr fontId="1" type="noConversion"/>
  </si>
  <si>
    <t>1.一周兩次測試   2.Nano-測厚度
3.CD解析度-OM
4.產品Camtek</t>
    <phoneticPr fontId="1" type="noConversion"/>
  </si>
  <si>
    <t>HMDS 塗佈均勻</t>
    <phoneticPr fontId="1" type="noConversion"/>
  </si>
  <si>
    <t>光阻接著不良</t>
    <phoneticPr fontId="1" type="noConversion"/>
  </si>
  <si>
    <t>光阻塗佈不均，光阻顯影後peeling</t>
    <phoneticPr fontId="1" type="noConversion"/>
  </si>
  <si>
    <t>N2 purge 壓力不足或 stage 溫控異常</t>
    <phoneticPr fontId="1" type="noConversion"/>
  </si>
  <si>
    <t>機台alarm</t>
    <phoneticPr fontId="1" type="noConversion"/>
  </si>
  <si>
    <t>設備檢修</t>
    <phoneticPr fontId="1" type="noConversion"/>
  </si>
  <si>
    <t>厚度均勻無氣泡產生</t>
    <phoneticPr fontId="1" type="noConversion"/>
  </si>
  <si>
    <t>管路無排泡或回吸失效</t>
    <phoneticPr fontId="1" type="noConversion"/>
  </si>
  <si>
    <t>NANO，目視或OM</t>
    <phoneticPr fontId="1" type="noConversion"/>
  </si>
  <si>
    <t>1.設備檢修
2.增加管路Cycle Purge次數</t>
    <phoneticPr fontId="1" type="noConversion"/>
  </si>
  <si>
    <t>chuck轉速
SPEC.=1950 ±-50rpm</t>
    <phoneticPr fontId="1" type="noConversion"/>
  </si>
  <si>
    <t>厚度變厚或變薄</t>
    <phoneticPr fontId="1" type="noConversion"/>
  </si>
  <si>
    <t>CD變異</t>
    <phoneticPr fontId="1" type="noConversion"/>
  </si>
  <si>
    <t>馬達轉速有異常</t>
    <phoneticPr fontId="1" type="noConversion"/>
  </si>
  <si>
    <t>NANO厚度量測</t>
    <phoneticPr fontId="1" type="noConversion"/>
  </si>
  <si>
    <t>下料量
SPEC.=11± 0.5 cc</t>
    <phoneticPr fontId="1" type="noConversion"/>
  </si>
  <si>
    <t>下料量不足</t>
    <phoneticPr fontId="1" type="noConversion"/>
  </si>
  <si>
    <t>塗佈厚度不足,厚度不均，產生箭影</t>
    <phoneticPr fontId="1" type="noConversion"/>
  </si>
  <si>
    <t>定量pump異常</t>
    <phoneticPr fontId="1" type="noConversion"/>
  </si>
  <si>
    <t>NANO，目視</t>
    <phoneticPr fontId="1" type="noConversion"/>
  </si>
  <si>
    <r>
      <t>軟烤 HP+CP溫控
SPEC.=110±1◦</t>
    </r>
    <r>
      <rPr>
        <b/>
        <sz val="11.2"/>
        <rFont val="微軟正黑體"/>
        <family val="2"/>
        <charset val="136"/>
      </rPr>
      <t>C</t>
    </r>
    <phoneticPr fontId="1" type="noConversion"/>
  </si>
  <si>
    <t>溫控過高或過低</t>
    <phoneticPr fontId="1" type="noConversion"/>
  </si>
  <si>
    <t>溫控器異常</t>
    <phoneticPr fontId="1" type="noConversion"/>
  </si>
  <si>
    <t>設備自動偵測</t>
    <phoneticPr fontId="1" type="noConversion"/>
  </si>
  <si>
    <t>3. 光阻洗邊(EBR)</t>
    <phoneticPr fontId="1" type="noConversion"/>
  </si>
  <si>
    <t>洗邊針頭角度及高度(藥液不能回濺到距離wafer邊緣1 cm)</t>
    <phoneticPr fontId="1" type="noConversion"/>
  </si>
  <si>
    <t>針頭角度及高度偏移</t>
    <phoneticPr fontId="1" type="noConversion"/>
  </si>
  <si>
    <t>洗邊的距離改變及回濺</t>
    <phoneticPr fontId="1" type="noConversion"/>
  </si>
  <si>
    <t>人為碰撞或機台設定跑掉</t>
    <phoneticPr fontId="1" type="noConversion"/>
  </si>
  <si>
    <t>目視</t>
    <phoneticPr fontId="1" type="noConversion"/>
  </si>
  <si>
    <t>符合洗邊的需求
1.8um± 0.5um</t>
    <phoneticPr fontId="1" type="noConversion"/>
  </si>
  <si>
    <t xml:space="preserve"> 電鍍渡液滲出wafer邊緣</t>
    <phoneticPr fontId="1" type="noConversion"/>
  </si>
  <si>
    <t>電鍍環污染,銅環會被電鍍上銅</t>
    <phoneticPr fontId="1" type="noConversion"/>
  </si>
  <si>
    <t>機台中心點設定跑掉</t>
    <phoneticPr fontId="1" type="noConversion"/>
  </si>
  <si>
    <t>目視
光學顯微鏡</t>
    <phoneticPr fontId="1" type="noConversion"/>
  </si>
  <si>
    <t>重新校正WAFER中心點以符合規範</t>
    <phoneticPr fontId="1" type="noConversion"/>
  </si>
  <si>
    <t>藥液噴灑穩定(管路不行出現氣泡)</t>
    <phoneticPr fontId="1" type="noConversion"/>
  </si>
  <si>
    <t>噴濺污染</t>
    <phoneticPr fontId="1" type="noConversion"/>
  </si>
  <si>
    <t>光阻受溶劑污染厚度不均</t>
    <phoneticPr fontId="1" type="noConversion"/>
  </si>
  <si>
    <t>管路氣泡</t>
    <phoneticPr fontId="1" type="noConversion"/>
  </si>
  <si>
    <t>1.設備檢修
2.作Cycle Purge</t>
    <phoneticPr fontId="1" type="noConversion"/>
  </si>
  <si>
    <t>4. 光阻對位曝光</t>
    <phoneticPr fontId="1" type="noConversion"/>
  </si>
  <si>
    <t>光罩進料檢查(無 particle汙染)</t>
    <phoneticPr fontId="1" type="noConversion"/>
  </si>
  <si>
    <t>Repeat defect</t>
    <phoneticPr fontId="1" type="noConversion"/>
  </si>
  <si>
    <t>particle 會遮光造成曝光局部失效</t>
    <phoneticPr fontId="1" type="noConversion"/>
  </si>
  <si>
    <t>包裝或製作過程汙染</t>
    <phoneticPr fontId="1" type="noConversion"/>
  </si>
  <si>
    <t>強光燈檢測
OM抽測</t>
    <phoneticPr fontId="1" type="noConversion"/>
  </si>
  <si>
    <t>1.異常退回給光罩廠處理
2.測試片驗證</t>
    <phoneticPr fontId="1" type="noConversion"/>
  </si>
  <si>
    <t>符合產品OL需求±1um的需求
SPEC.標準wafer為±0.5um</t>
    <phoneticPr fontId="1" type="noConversion"/>
  </si>
  <si>
    <t>Overlay 超出設計範圍</t>
    <phoneticPr fontId="1" type="noConversion"/>
  </si>
  <si>
    <t>線路斷路或短路</t>
    <phoneticPr fontId="1" type="noConversion"/>
  </si>
  <si>
    <t>對位key模糊機台無法辨識,或wafer warp</t>
    <phoneticPr fontId="1" type="noConversion"/>
  </si>
  <si>
    <t>1.Camtek
2.光學顯微鏡</t>
    <phoneticPr fontId="1" type="noConversion"/>
  </si>
  <si>
    <t>1.OL量測
2.Alignment Mark(SPEC.±1um)及WARP控制在允許範圍內</t>
    <phoneticPr fontId="1" type="noConversion"/>
  </si>
  <si>
    <t>-</t>
    <phoneticPr fontId="1" type="noConversion"/>
  </si>
  <si>
    <t>chuck X、Y軸移動精度
SPEC.=±1um</t>
    <phoneticPr fontId="1" type="noConversion"/>
  </si>
  <si>
    <t>Overlay over SPC.</t>
    <phoneticPr fontId="1" type="noConversion"/>
  </si>
  <si>
    <t>對位異常,CD變異</t>
    <phoneticPr fontId="1" type="noConversion"/>
  </si>
  <si>
    <t>機台stage異常</t>
    <phoneticPr fontId="1" type="noConversion"/>
  </si>
  <si>
    <t>光學顯微鏡</t>
    <phoneticPr fontId="1" type="noConversion"/>
  </si>
  <si>
    <t>設備校正及調整</t>
    <phoneticPr fontId="1" type="noConversion"/>
  </si>
  <si>
    <t>chuck Z軸移動精度
SPEC.=±1um</t>
    <phoneticPr fontId="1" type="noConversion"/>
  </si>
  <si>
    <t>Focus 異常</t>
    <phoneticPr fontId="1" type="noConversion"/>
  </si>
  <si>
    <t>曝光整面均勻度為3%</t>
    <phoneticPr fontId="1" type="noConversion"/>
  </si>
  <si>
    <t>過高或過低造成profile異常</t>
    <phoneticPr fontId="1" type="noConversion"/>
  </si>
  <si>
    <t>線路形狀不佳，CD變異</t>
    <phoneticPr fontId="1" type="noConversion"/>
  </si>
  <si>
    <t>曝光sensor異常,laser decay</t>
    <phoneticPr fontId="1" type="noConversion"/>
  </si>
  <si>
    <t>1.光學顯微鏡OM
2.Camtek</t>
    <phoneticPr fontId="1" type="noConversion"/>
  </si>
  <si>
    <t>1.設備校正及調整機台曝光均勻度
2.更換laser 源</t>
    <phoneticPr fontId="1" type="noConversion"/>
  </si>
  <si>
    <t>Wafer 厚度量測
SPEC.=±8um</t>
    <phoneticPr fontId="1" type="noConversion"/>
  </si>
  <si>
    <t>機台量測異常</t>
    <phoneticPr fontId="1" type="noConversion"/>
  </si>
  <si>
    <t>機台log檔</t>
    <phoneticPr fontId="1" type="noConversion"/>
  </si>
  <si>
    <t>5. 光阻顯影</t>
    <phoneticPr fontId="1" type="noConversion"/>
  </si>
  <si>
    <t>顯影液溫控
SPEC.=22±1◦C</t>
    <phoneticPr fontId="1" type="noConversion"/>
  </si>
  <si>
    <t>機台警示(溫度過高或過低)</t>
    <phoneticPr fontId="1" type="noConversion"/>
  </si>
  <si>
    <t>顯影液需全面覆蓋光阻</t>
    <phoneticPr fontId="1" type="noConversion"/>
  </si>
  <si>
    <t>部分光阻殘留</t>
    <phoneticPr fontId="1" type="noConversion"/>
  </si>
  <si>
    <t>顯影液因PI開scribe line而覆蓋不均</t>
    <phoneticPr fontId="1" type="noConversion"/>
  </si>
  <si>
    <t>目視或光學顯微鏡</t>
    <phoneticPr fontId="1" type="noConversion"/>
  </si>
  <si>
    <t>增加顯影液的量</t>
    <phoneticPr fontId="1" type="noConversion"/>
  </si>
  <si>
    <t>DI water rinse
SPEC.=no residue 無彩紋…</t>
    <phoneticPr fontId="1" type="noConversion"/>
  </si>
  <si>
    <t>管路壓力不足或清洗時間不夠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</si>
</sst>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20"/>
      <name val="微軟正黑體"/>
      <family val="2"/>
      <charset val="136"/>
    </font>
    <font>
      <b/>
      <sz val="16"/>
      <name val="微軟正黑體"/>
      <family val="2"/>
      <charset val="136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6"/>
      <color rgb="FF0000CC"/>
      <name val="Calibri"/>
      <family val="2"/>
    </font>
    <font>
      <sz val="12"/>
      <color rgb="FF0000CC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charset val="136"/>
    </font>
    <font>
      <sz val="12"/>
      <color theme="0" tint="-0.14999847407452621"/>
      <name val="Calibri"/>
      <family val="2"/>
    </font>
    <font>
      <b/>
      <sz val="16"/>
      <color theme="1"/>
      <name val="新細明體"/>
      <family val="1"/>
      <charset val="136"/>
      <scheme val="minor"/>
    </font>
    <font>
      <b/>
      <sz val="11.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b/>
      <sz val="12"/>
      <color theme="0" tint="-0.14999847407452621"/>
      <name val="微軟正黑體"/>
      <family val="2"/>
      <charset val="136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left" vertical="center" indent="2" readingOrder="1"/>
    </xf>
    <xf numFmtId="176" fontId="18" fillId="0" borderId="0" xfId="0" quotePrefix="1" applyNumberFormat="1" applyFont="1">
      <alignment vertical="center"/>
    </xf>
    <xf numFmtId="0" fontId="18" fillId="0" borderId="0" xfId="0" applyFont="1" applyAlignment="1">
      <alignment horizontal="left" vertical="center" indent="5" readingOrder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EDB1-AE3B-421D-8CC4-CBB7F1E519D8}">
  <sheetPr>
    <pageSetUpPr fitToPage="1"/>
  </sheetPr>
  <dimension ref="B1:AA43"/>
  <sheetViews>
    <sheetView tabSelected="1" topLeftCell="K1" zoomScale="70" zoomScaleNormal="70" workbookViewId="0">
      <selection activeCell="T3" sqref="T3"/>
    </sheetView>
  </sheetViews>
  <sheetFormatPr defaultColWidth="8.88671875" defaultRowHeight="15.6" x14ac:dyDescent="0.3"/>
  <cols>
    <col min="1" max="1" width="8.88671875" style="8"/>
    <col min="2" max="2" width="7.44140625" style="8" customWidth="1"/>
    <col min="3" max="3" width="7.6640625" style="8" customWidth="1"/>
    <col min="4" max="4" width="29.21875" style="42" customWidth="1"/>
    <col min="5" max="5" width="42.77734375" style="42" customWidth="1"/>
    <col min="6" max="6" width="38.77734375" style="42" customWidth="1"/>
    <col min="7" max="7" width="58.109375" style="42" customWidth="1"/>
    <col min="8" max="8" width="10.21875" style="42" customWidth="1"/>
    <col min="9" max="9" width="27.88671875" style="42" customWidth="1"/>
    <col min="10" max="10" width="10.77734375" style="42" customWidth="1"/>
    <col min="11" max="11" width="39.44140625" style="42" customWidth="1"/>
    <col min="12" max="12" width="12.6640625" style="42" customWidth="1"/>
    <col min="13" max="13" width="14.77734375" style="42" customWidth="1"/>
    <col min="14" max="14" width="55.88671875" style="41" customWidth="1"/>
    <col min="15" max="15" width="11.88671875" style="42" customWidth="1"/>
    <col min="16" max="16" width="12.6640625" style="42" customWidth="1"/>
    <col min="17" max="17" width="12" style="42" customWidth="1"/>
    <col min="18" max="18" width="12.77734375" style="42" customWidth="1"/>
    <col min="19" max="19" width="18.77734375" style="42" customWidth="1"/>
    <col min="20" max="20" width="50.88671875" style="42" customWidth="1"/>
    <col min="21" max="21" width="8.88671875" style="8"/>
    <col min="22" max="23" width="11.44140625" style="8" bestFit="1" customWidth="1"/>
    <col min="24" max="24" width="11.44140625" style="8" customWidth="1"/>
    <col min="25" max="25" width="15.109375" style="8" customWidth="1"/>
    <col min="26" max="26" width="12.88671875" style="8" bestFit="1" customWidth="1"/>
    <col min="27" max="16384" width="8.88671875" style="8"/>
  </cols>
  <sheetData>
    <row r="1" spans="2:27" ht="54.75" customHeight="1" x14ac:dyDescent="0.3">
      <c r="D1" s="50" t="s">
        <v>16</v>
      </c>
      <c r="E1" s="51"/>
      <c r="F1" s="51"/>
      <c r="G1" s="32"/>
      <c r="H1" s="32"/>
      <c r="I1" s="32"/>
      <c r="J1" s="33"/>
      <c r="K1" s="33"/>
      <c r="L1" s="33"/>
      <c r="M1" s="32"/>
      <c r="N1" s="34"/>
      <c r="O1" s="32"/>
      <c r="P1" s="32"/>
      <c r="Q1" s="32"/>
      <c r="R1" s="32"/>
      <c r="S1" s="32"/>
      <c r="T1" s="35"/>
      <c r="U1" s="21"/>
      <c r="V1" s="21"/>
      <c r="W1" s="21"/>
      <c r="X1" s="21"/>
      <c r="Y1" s="21"/>
      <c r="Z1" s="21"/>
      <c r="AA1" s="21"/>
    </row>
    <row r="2" spans="2:27" ht="64.8" x14ac:dyDescent="0.3">
      <c r="B2" s="9"/>
      <c r="C2" s="9"/>
      <c r="D2" s="2" t="s">
        <v>0</v>
      </c>
      <c r="E2" s="2" t="s">
        <v>1</v>
      </c>
      <c r="F2" s="2" t="s">
        <v>2</v>
      </c>
      <c r="G2" s="2" t="s">
        <v>3</v>
      </c>
      <c r="H2" s="3" t="s">
        <v>4</v>
      </c>
      <c r="I2" s="2" t="s">
        <v>5</v>
      </c>
      <c r="J2" s="4" t="s">
        <v>6</v>
      </c>
      <c r="K2" s="2" t="s">
        <v>7</v>
      </c>
      <c r="L2" s="5" t="s">
        <v>8</v>
      </c>
      <c r="M2" s="6" t="s">
        <v>9</v>
      </c>
      <c r="N2" s="1" t="s">
        <v>10</v>
      </c>
      <c r="O2" s="2" t="s">
        <v>4</v>
      </c>
      <c r="P2" s="2" t="s">
        <v>6</v>
      </c>
      <c r="Q2" s="2" t="s">
        <v>8</v>
      </c>
      <c r="R2" s="2" t="s">
        <v>9</v>
      </c>
      <c r="S2" s="2" t="s">
        <v>11</v>
      </c>
      <c r="T2" s="35"/>
      <c r="U2" s="21"/>
      <c r="V2" s="21"/>
      <c r="W2" s="21"/>
      <c r="X2" s="21"/>
      <c r="Y2" s="21"/>
      <c r="Z2" s="21"/>
      <c r="AA2" s="21"/>
    </row>
    <row r="3" spans="2:27" ht="79.5" customHeight="1" x14ac:dyDescent="0.3">
      <c r="B3" s="9"/>
      <c r="C3" s="9"/>
      <c r="D3" s="48" t="s">
        <v>17</v>
      </c>
      <c r="E3" s="2" t="s">
        <v>18</v>
      </c>
      <c r="F3" s="2" t="s">
        <v>19</v>
      </c>
      <c r="G3" s="2" t="s">
        <v>20</v>
      </c>
      <c r="H3" s="3">
        <v>7</v>
      </c>
      <c r="I3" s="2" t="s">
        <v>21</v>
      </c>
      <c r="J3" s="4">
        <v>7</v>
      </c>
      <c r="K3" s="2" t="s">
        <v>22</v>
      </c>
      <c r="L3" s="5">
        <v>3</v>
      </c>
      <c r="M3" s="6">
        <f t="shared" ref="M3:M7" si="0">H3*J3*L3</f>
        <v>147</v>
      </c>
      <c r="N3" s="1" t="s">
        <v>23</v>
      </c>
      <c r="O3" s="2">
        <v>7</v>
      </c>
      <c r="P3" s="2">
        <v>7</v>
      </c>
      <c r="Q3" s="2">
        <v>3</v>
      </c>
      <c r="R3" s="2">
        <v>147</v>
      </c>
      <c r="S3" s="2"/>
      <c r="T3" s="36"/>
      <c r="U3" s="21"/>
      <c r="V3" s="22"/>
      <c r="W3" s="21"/>
      <c r="X3" s="21"/>
      <c r="Y3" s="21"/>
      <c r="Z3" s="21"/>
      <c r="AA3" s="21"/>
    </row>
    <row r="4" spans="2:27" ht="48" customHeight="1" x14ac:dyDescent="0.3">
      <c r="B4" s="9"/>
      <c r="C4" s="9"/>
      <c r="D4" s="48"/>
      <c r="E4" s="2" t="s">
        <v>24</v>
      </c>
      <c r="F4" s="2" t="s">
        <v>25</v>
      </c>
      <c r="G4" s="2" t="s">
        <v>26</v>
      </c>
      <c r="H4" s="3">
        <v>7</v>
      </c>
      <c r="I4" s="2" t="s">
        <v>27</v>
      </c>
      <c r="J4" s="4">
        <v>3</v>
      </c>
      <c r="K4" s="2" t="s">
        <v>28</v>
      </c>
      <c r="L4" s="5">
        <v>3</v>
      </c>
      <c r="M4" s="6">
        <f t="shared" si="0"/>
        <v>63</v>
      </c>
      <c r="N4" s="1" t="s">
        <v>29</v>
      </c>
      <c r="O4" s="2">
        <v>7</v>
      </c>
      <c r="P4" s="2">
        <v>3</v>
      </c>
      <c r="Q4" s="2">
        <v>3</v>
      </c>
      <c r="R4" s="2">
        <v>63</v>
      </c>
      <c r="S4" s="2"/>
      <c r="T4" s="35" t="s">
        <v>12</v>
      </c>
      <c r="U4" s="21"/>
      <c r="V4" s="21"/>
      <c r="W4" s="21"/>
      <c r="X4" s="21"/>
      <c r="Y4" s="21"/>
      <c r="Z4" s="21"/>
      <c r="AA4" s="21"/>
    </row>
    <row r="5" spans="2:27" s="11" customFormat="1" ht="53.25" customHeight="1" x14ac:dyDescent="0.3">
      <c r="B5" s="10"/>
      <c r="C5" s="10"/>
      <c r="D5" s="48"/>
      <c r="E5" s="2" t="s">
        <v>30</v>
      </c>
      <c r="F5" s="2" t="s">
        <v>31</v>
      </c>
      <c r="G5" s="2" t="s">
        <v>32</v>
      </c>
      <c r="H5" s="3">
        <v>7</v>
      </c>
      <c r="I5" s="2" t="s">
        <v>21</v>
      </c>
      <c r="J5" s="4">
        <v>1</v>
      </c>
      <c r="K5" s="2" t="s">
        <v>33</v>
      </c>
      <c r="L5" s="5">
        <v>3</v>
      </c>
      <c r="M5" s="6">
        <f t="shared" si="0"/>
        <v>21</v>
      </c>
      <c r="N5" s="1" t="s">
        <v>34</v>
      </c>
      <c r="O5" s="2">
        <v>7</v>
      </c>
      <c r="P5" s="2">
        <v>1</v>
      </c>
      <c r="Q5" s="2">
        <v>3</v>
      </c>
      <c r="R5" s="2">
        <v>21</v>
      </c>
      <c r="S5" s="2"/>
      <c r="T5" s="35"/>
      <c r="U5" s="23"/>
      <c r="V5" s="23"/>
      <c r="W5" s="23"/>
      <c r="X5" s="23"/>
      <c r="Y5" s="23"/>
      <c r="Z5" s="23"/>
      <c r="AA5" s="23"/>
    </row>
    <row r="6" spans="2:27" s="11" customFormat="1" ht="55.5" customHeight="1" x14ac:dyDescent="0.3">
      <c r="B6" s="10"/>
      <c r="C6" s="10"/>
      <c r="D6" s="48"/>
      <c r="E6" s="2" t="s">
        <v>13</v>
      </c>
      <c r="F6" s="2" t="s">
        <v>14</v>
      </c>
      <c r="G6" s="2" t="s">
        <v>15</v>
      </c>
      <c r="H6" s="3">
        <v>7</v>
      </c>
      <c r="I6" s="2" t="s">
        <v>35</v>
      </c>
      <c r="J6" s="4">
        <v>1</v>
      </c>
      <c r="K6" s="2" t="s">
        <v>36</v>
      </c>
      <c r="L6" s="5">
        <v>3</v>
      </c>
      <c r="M6" s="6">
        <f t="shared" si="0"/>
        <v>21</v>
      </c>
      <c r="N6" s="1" t="s">
        <v>37</v>
      </c>
      <c r="O6" s="2">
        <v>7</v>
      </c>
      <c r="P6" s="2">
        <v>1</v>
      </c>
      <c r="Q6" s="2">
        <v>3</v>
      </c>
      <c r="R6" s="2">
        <v>21</v>
      </c>
      <c r="S6" s="2"/>
      <c r="T6" s="35"/>
      <c r="U6" s="23"/>
      <c r="V6" s="23"/>
      <c r="W6" s="23"/>
      <c r="X6" s="23"/>
      <c r="Y6" s="23"/>
      <c r="Z6" s="23"/>
      <c r="AA6" s="23"/>
    </row>
    <row r="7" spans="2:27" ht="63" customHeight="1" x14ac:dyDescent="0.3">
      <c r="B7" s="9"/>
      <c r="C7" s="9"/>
      <c r="D7" s="47" t="s">
        <v>38</v>
      </c>
      <c r="E7" s="2" t="s">
        <v>39</v>
      </c>
      <c r="F7" s="2" t="s">
        <v>40</v>
      </c>
      <c r="G7" s="2" t="s">
        <v>41</v>
      </c>
      <c r="H7" s="3">
        <v>7</v>
      </c>
      <c r="I7" s="2" t="s">
        <v>42</v>
      </c>
      <c r="J7" s="4">
        <v>1</v>
      </c>
      <c r="K7" s="2" t="s">
        <v>43</v>
      </c>
      <c r="L7" s="5">
        <v>1</v>
      </c>
      <c r="M7" s="6">
        <f t="shared" si="0"/>
        <v>7</v>
      </c>
      <c r="N7" s="1" t="s">
        <v>44</v>
      </c>
      <c r="O7" s="2">
        <v>7</v>
      </c>
      <c r="P7" s="2">
        <v>1</v>
      </c>
      <c r="Q7" s="2">
        <v>1</v>
      </c>
      <c r="R7" s="2">
        <v>7</v>
      </c>
      <c r="S7" s="2"/>
      <c r="T7" s="35"/>
      <c r="U7" s="21"/>
      <c r="V7" s="21"/>
      <c r="W7" s="21"/>
      <c r="X7" s="21"/>
      <c r="Y7" s="21"/>
      <c r="Z7" s="21"/>
      <c r="AA7" s="21"/>
    </row>
    <row r="8" spans="2:27" s="11" customFormat="1" ht="57" customHeight="1" x14ac:dyDescent="0.3">
      <c r="B8" s="10"/>
      <c r="C8" s="10"/>
      <c r="D8" s="49"/>
      <c r="E8" s="2" t="s">
        <v>45</v>
      </c>
      <c r="F8" s="2" t="s">
        <v>46</v>
      </c>
      <c r="G8" s="2" t="s">
        <v>47</v>
      </c>
      <c r="H8" s="3">
        <v>7</v>
      </c>
      <c r="I8" s="2" t="s">
        <v>48</v>
      </c>
      <c r="J8" s="4">
        <v>1</v>
      </c>
      <c r="K8" s="2" t="s">
        <v>49</v>
      </c>
      <c r="L8" s="5">
        <v>1</v>
      </c>
      <c r="M8" s="6">
        <v>14</v>
      </c>
      <c r="N8" s="1" t="s">
        <v>50</v>
      </c>
      <c r="O8" s="2">
        <v>7</v>
      </c>
      <c r="P8" s="2">
        <v>1</v>
      </c>
      <c r="Q8" s="2">
        <v>1</v>
      </c>
      <c r="R8" s="2">
        <v>14</v>
      </c>
      <c r="S8" s="2"/>
      <c r="T8" s="37"/>
      <c r="U8" s="23"/>
      <c r="V8" s="23"/>
      <c r="W8" s="23"/>
      <c r="X8" s="23"/>
      <c r="Y8" s="23"/>
      <c r="Z8" s="23"/>
      <c r="AA8" s="23"/>
    </row>
    <row r="9" spans="2:27" ht="50.25" customHeight="1" x14ac:dyDescent="0.3">
      <c r="B9" s="9"/>
      <c r="C9" s="9"/>
      <c r="D9" s="49"/>
      <c r="E9" s="2" t="s">
        <v>51</v>
      </c>
      <c r="F9" s="2" t="s">
        <v>19</v>
      </c>
      <c r="G9" s="2" t="s">
        <v>20</v>
      </c>
      <c r="H9" s="3">
        <v>7</v>
      </c>
      <c r="I9" s="2" t="s">
        <v>52</v>
      </c>
      <c r="J9" s="4">
        <v>1</v>
      </c>
      <c r="K9" s="2" t="s">
        <v>53</v>
      </c>
      <c r="L9" s="5">
        <v>3</v>
      </c>
      <c r="M9" s="6">
        <v>42</v>
      </c>
      <c r="N9" s="1" t="s">
        <v>54</v>
      </c>
      <c r="O9" s="2">
        <v>7</v>
      </c>
      <c r="P9" s="2">
        <v>1</v>
      </c>
      <c r="Q9" s="2">
        <v>3</v>
      </c>
      <c r="R9" s="2">
        <v>42</v>
      </c>
      <c r="S9" s="2"/>
      <c r="T9" s="35"/>
      <c r="U9" s="21"/>
      <c r="V9" s="21"/>
      <c r="W9" s="21"/>
      <c r="X9" s="21"/>
      <c r="Y9" s="21"/>
      <c r="Z9" s="21"/>
      <c r="AA9" s="21"/>
    </row>
    <row r="10" spans="2:27" ht="45" customHeight="1" x14ac:dyDescent="0.3">
      <c r="B10" s="9"/>
      <c r="C10" s="9"/>
      <c r="D10" s="49"/>
      <c r="E10" s="2" t="s">
        <v>55</v>
      </c>
      <c r="F10" s="2" t="s">
        <v>56</v>
      </c>
      <c r="G10" s="2" t="s">
        <v>57</v>
      </c>
      <c r="H10" s="3">
        <v>5</v>
      </c>
      <c r="I10" s="2" t="s">
        <v>58</v>
      </c>
      <c r="J10" s="4">
        <v>1</v>
      </c>
      <c r="K10" s="2" t="s">
        <v>59</v>
      </c>
      <c r="L10" s="5">
        <v>1</v>
      </c>
      <c r="M10" s="6">
        <f t="shared" ref="M10:M24" si="1">H10*J10*L10</f>
        <v>5</v>
      </c>
      <c r="N10" s="1" t="s">
        <v>50</v>
      </c>
      <c r="O10" s="2">
        <v>5</v>
      </c>
      <c r="P10" s="2">
        <v>1</v>
      </c>
      <c r="Q10" s="2">
        <v>1</v>
      </c>
      <c r="R10" s="2">
        <v>5</v>
      </c>
      <c r="S10" s="2"/>
      <c r="T10" s="35"/>
      <c r="U10" s="21"/>
      <c r="V10" s="21"/>
      <c r="W10" s="21"/>
      <c r="X10" s="21"/>
      <c r="Y10" s="21"/>
      <c r="Z10" s="21"/>
      <c r="AA10" s="21"/>
    </row>
    <row r="11" spans="2:27" ht="42.75" customHeight="1" x14ac:dyDescent="0.3">
      <c r="B11" s="9"/>
      <c r="C11" s="9"/>
      <c r="D11" s="49"/>
      <c r="E11" s="2" t="s">
        <v>60</v>
      </c>
      <c r="F11" s="2" t="s">
        <v>61</v>
      </c>
      <c r="G11" s="2" t="s">
        <v>62</v>
      </c>
      <c r="H11" s="3">
        <v>5</v>
      </c>
      <c r="I11" s="2" t="s">
        <v>63</v>
      </c>
      <c r="J11" s="4">
        <v>1</v>
      </c>
      <c r="K11" s="2" t="s">
        <v>64</v>
      </c>
      <c r="L11" s="5">
        <v>1</v>
      </c>
      <c r="M11" s="6">
        <f t="shared" si="1"/>
        <v>5</v>
      </c>
      <c r="N11" s="1" t="s">
        <v>50</v>
      </c>
      <c r="O11" s="2">
        <v>5</v>
      </c>
      <c r="P11" s="2">
        <v>1</v>
      </c>
      <c r="Q11" s="2">
        <v>1</v>
      </c>
      <c r="R11" s="2">
        <v>5</v>
      </c>
      <c r="S11" s="2"/>
      <c r="T11" s="35"/>
      <c r="U11" s="21"/>
      <c r="V11" s="21"/>
      <c r="W11" s="21"/>
      <c r="X11" s="21"/>
      <c r="Y11" s="21"/>
      <c r="Z11" s="21"/>
      <c r="AA11" s="21"/>
    </row>
    <row r="12" spans="2:27" ht="52.5" customHeight="1" x14ac:dyDescent="0.3">
      <c r="B12" s="9"/>
      <c r="C12" s="9"/>
      <c r="D12" s="52"/>
      <c r="E12" s="2" t="s">
        <v>65</v>
      </c>
      <c r="F12" s="2" t="s">
        <v>66</v>
      </c>
      <c r="G12" s="2" t="s">
        <v>57</v>
      </c>
      <c r="H12" s="3">
        <v>5</v>
      </c>
      <c r="I12" s="2" t="s">
        <v>67</v>
      </c>
      <c r="J12" s="4">
        <v>1</v>
      </c>
      <c r="K12" s="2" t="s">
        <v>68</v>
      </c>
      <c r="L12" s="5">
        <v>1</v>
      </c>
      <c r="M12" s="6">
        <f t="shared" si="1"/>
        <v>5</v>
      </c>
      <c r="N12" s="1" t="s">
        <v>50</v>
      </c>
      <c r="O12" s="2">
        <v>5</v>
      </c>
      <c r="P12" s="2">
        <v>1</v>
      </c>
      <c r="Q12" s="2">
        <v>1</v>
      </c>
      <c r="R12" s="2">
        <v>5</v>
      </c>
      <c r="S12" s="2"/>
      <c r="T12" s="35"/>
      <c r="U12" s="21"/>
      <c r="V12" s="21"/>
      <c r="W12" s="21"/>
      <c r="X12" s="21"/>
      <c r="Y12" s="21"/>
      <c r="Z12" s="21"/>
      <c r="AA12" s="21"/>
    </row>
    <row r="13" spans="2:27" ht="60" customHeight="1" x14ac:dyDescent="0.3">
      <c r="B13" s="9"/>
      <c r="C13" s="9"/>
      <c r="D13" s="47" t="s">
        <v>69</v>
      </c>
      <c r="E13" s="2" t="s">
        <v>70</v>
      </c>
      <c r="F13" s="2" t="s">
        <v>71</v>
      </c>
      <c r="G13" s="2" t="s">
        <v>72</v>
      </c>
      <c r="H13" s="3">
        <v>2</v>
      </c>
      <c r="I13" s="2" t="s">
        <v>73</v>
      </c>
      <c r="J13" s="4">
        <v>2</v>
      </c>
      <c r="K13" s="2" t="s">
        <v>74</v>
      </c>
      <c r="L13" s="5">
        <v>2</v>
      </c>
      <c r="M13" s="6">
        <f t="shared" si="1"/>
        <v>8</v>
      </c>
      <c r="N13" s="1" t="s">
        <v>50</v>
      </c>
      <c r="O13" s="2">
        <v>2</v>
      </c>
      <c r="P13" s="2">
        <v>2</v>
      </c>
      <c r="Q13" s="2">
        <v>2</v>
      </c>
      <c r="R13" s="2">
        <v>8</v>
      </c>
      <c r="S13" s="2"/>
      <c r="T13" s="35"/>
      <c r="U13" s="21"/>
      <c r="V13" s="21"/>
      <c r="W13" s="21"/>
      <c r="X13" s="21"/>
      <c r="Y13" s="21"/>
      <c r="Z13" s="21"/>
      <c r="AA13" s="21"/>
    </row>
    <row r="14" spans="2:27" ht="54" customHeight="1" x14ac:dyDescent="0.3">
      <c r="B14" s="9"/>
      <c r="C14" s="9"/>
      <c r="D14" s="49"/>
      <c r="E14" s="2" t="s">
        <v>75</v>
      </c>
      <c r="F14" s="2" t="s">
        <v>76</v>
      </c>
      <c r="G14" s="2" t="s">
        <v>77</v>
      </c>
      <c r="H14" s="3">
        <v>2</v>
      </c>
      <c r="I14" s="2" t="s">
        <v>78</v>
      </c>
      <c r="J14" s="4">
        <v>2</v>
      </c>
      <c r="K14" s="2" t="s">
        <v>79</v>
      </c>
      <c r="L14" s="5">
        <v>2</v>
      </c>
      <c r="M14" s="6">
        <f t="shared" si="1"/>
        <v>8</v>
      </c>
      <c r="N14" s="1" t="s">
        <v>80</v>
      </c>
      <c r="O14" s="2">
        <v>2</v>
      </c>
      <c r="P14" s="2">
        <v>2</v>
      </c>
      <c r="Q14" s="2">
        <v>2</v>
      </c>
      <c r="R14" s="2">
        <v>8</v>
      </c>
      <c r="S14" s="2"/>
      <c r="T14" s="35"/>
      <c r="U14" s="21"/>
      <c r="V14" s="21"/>
      <c r="W14" s="21"/>
      <c r="X14" s="21"/>
      <c r="Y14" s="21"/>
      <c r="Z14" s="21"/>
      <c r="AA14" s="21"/>
    </row>
    <row r="15" spans="2:27" ht="57" customHeight="1" x14ac:dyDescent="0.3">
      <c r="B15" s="9"/>
      <c r="C15" s="9"/>
      <c r="D15" s="52"/>
      <c r="E15" s="2" t="s">
        <v>81</v>
      </c>
      <c r="F15" s="2" t="s">
        <v>82</v>
      </c>
      <c r="G15" s="2" t="s">
        <v>83</v>
      </c>
      <c r="H15" s="3">
        <v>3</v>
      </c>
      <c r="I15" s="2" t="s">
        <v>84</v>
      </c>
      <c r="J15" s="4">
        <v>3</v>
      </c>
      <c r="K15" s="2" t="s">
        <v>74</v>
      </c>
      <c r="L15" s="5">
        <v>3</v>
      </c>
      <c r="M15" s="6">
        <f t="shared" si="1"/>
        <v>27</v>
      </c>
      <c r="N15" s="1" t="s">
        <v>85</v>
      </c>
      <c r="O15" s="2">
        <v>3</v>
      </c>
      <c r="P15" s="2">
        <v>3</v>
      </c>
      <c r="Q15" s="2">
        <v>3</v>
      </c>
      <c r="R15" s="2">
        <v>27</v>
      </c>
      <c r="S15" s="2"/>
      <c r="T15" s="35"/>
      <c r="U15" s="21"/>
      <c r="V15" s="21"/>
      <c r="W15" s="21"/>
      <c r="X15" s="21"/>
      <c r="Y15" s="21"/>
      <c r="Z15" s="21"/>
      <c r="AA15" s="21"/>
    </row>
    <row r="16" spans="2:27" ht="48.75" customHeight="1" x14ac:dyDescent="0.3">
      <c r="B16" s="9"/>
      <c r="C16" s="9"/>
      <c r="D16" s="47" t="s">
        <v>86</v>
      </c>
      <c r="E16" s="24" t="s">
        <v>87</v>
      </c>
      <c r="F16" s="25" t="s">
        <v>88</v>
      </c>
      <c r="G16" s="2" t="s">
        <v>89</v>
      </c>
      <c r="H16" s="26">
        <v>7</v>
      </c>
      <c r="I16" s="25" t="s">
        <v>90</v>
      </c>
      <c r="J16" s="27">
        <v>1</v>
      </c>
      <c r="K16" s="25" t="s">
        <v>91</v>
      </c>
      <c r="L16" s="28">
        <v>1</v>
      </c>
      <c r="M16" s="29">
        <f t="shared" si="1"/>
        <v>7</v>
      </c>
      <c r="N16" s="7" t="s">
        <v>92</v>
      </c>
      <c r="O16" s="2">
        <v>7</v>
      </c>
      <c r="P16" s="2">
        <v>1</v>
      </c>
      <c r="Q16" s="2">
        <v>1</v>
      </c>
      <c r="R16" s="2">
        <v>7</v>
      </c>
      <c r="S16" s="2"/>
      <c r="T16" s="35"/>
      <c r="U16" s="21"/>
      <c r="V16" s="21"/>
      <c r="W16" s="21"/>
      <c r="X16" s="21"/>
      <c r="Y16" s="21"/>
      <c r="Z16" s="21"/>
      <c r="AA16" s="21"/>
    </row>
    <row r="17" spans="2:27" ht="62.25" customHeight="1" x14ac:dyDescent="0.3">
      <c r="B17" s="9"/>
      <c r="C17" s="9"/>
      <c r="D17" s="49"/>
      <c r="E17" s="2" t="s">
        <v>93</v>
      </c>
      <c r="F17" s="2" t="s">
        <v>94</v>
      </c>
      <c r="G17" s="2" t="s">
        <v>95</v>
      </c>
      <c r="H17" s="3">
        <v>7</v>
      </c>
      <c r="I17" s="2" t="s">
        <v>96</v>
      </c>
      <c r="J17" s="4">
        <v>1</v>
      </c>
      <c r="K17" s="2" t="s">
        <v>97</v>
      </c>
      <c r="L17" s="5">
        <v>3</v>
      </c>
      <c r="M17" s="6">
        <f t="shared" si="1"/>
        <v>21</v>
      </c>
      <c r="N17" s="1" t="s">
        <v>98</v>
      </c>
      <c r="O17" s="2">
        <v>7</v>
      </c>
      <c r="P17" s="2">
        <v>1</v>
      </c>
      <c r="Q17" s="2">
        <v>3</v>
      </c>
      <c r="R17" s="2">
        <v>21</v>
      </c>
      <c r="S17" s="2" t="s">
        <v>99</v>
      </c>
      <c r="T17" s="35"/>
      <c r="U17" s="21"/>
      <c r="V17" s="21"/>
      <c r="W17" s="21"/>
      <c r="X17" s="21"/>
      <c r="Y17" s="21"/>
      <c r="Z17" s="21"/>
      <c r="AA17" s="21"/>
    </row>
    <row r="18" spans="2:27" ht="49.5" customHeight="1" x14ac:dyDescent="0.3">
      <c r="B18" s="9"/>
      <c r="C18" s="9"/>
      <c r="D18" s="49"/>
      <c r="E18" s="24" t="s">
        <v>100</v>
      </c>
      <c r="F18" s="25" t="s">
        <v>101</v>
      </c>
      <c r="G18" s="2" t="s">
        <v>102</v>
      </c>
      <c r="H18" s="26">
        <v>7</v>
      </c>
      <c r="I18" s="25" t="s">
        <v>103</v>
      </c>
      <c r="J18" s="27">
        <v>1</v>
      </c>
      <c r="K18" s="25" t="s">
        <v>104</v>
      </c>
      <c r="L18" s="28">
        <v>1</v>
      </c>
      <c r="M18" s="29">
        <f t="shared" si="1"/>
        <v>7</v>
      </c>
      <c r="N18" s="1" t="s">
        <v>105</v>
      </c>
      <c r="O18" s="2">
        <v>7</v>
      </c>
      <c r="P18" s="2">
        <v>1</v>
      </c>
      <c r="Q18" s="2">
        <v>1</v>
      </c>
      <c r="R18" s="2">
        <v>7</v>
      </c>
      <c r="S18" s="2"/>
      <c r="T18" s="35"/>
      <c r="U18" s="21"/>
      <c r="V18" s="21"/>
      <c r="W18" s="21"/>
      <c r="X18" s="21"/>
      <c r="Y18" s="21"/>
      <c r="Z18" s="21"/>
      <c r="AA18" s="21"/>
    </row>
    <row r="19" spans="2:27" ht="48.75" customHeight="1" x14ac:dyDescent="0.3">
      <c r="D19" s="49"/>
      <c r="E19" s="2" t="s">
        <v>106</v>
      </c>
      <c r="F19" s="2" t="s">
        <v>107</v>
      </c>
      <c r="G19" s="2" t="s">
        <v>57</v>
      </c>
      <c r="H19" s="3">
        <v>7</v>
      </c>
      <c r="I19" s="25" t="s">
        <v>103</v>
      </c>
      <c r="J19" s="4">
        <v>1</v>
      </c>
      <c r="K19" s="2" t="s">
        <v>104</v>
      </c>
      <c r="L19" s="5">
        <v>1</v>
      </c>
      <c r="M19" s="6">
        <f t="shared" si="1"/>
        <v>7</v>
      </c>
      <c r="N19" s="1" t="s">
        <v>105</v>
      </c>
      <c r="O19" s="2">
        <v>7</v>
      </c>
      <c r="P19" s="2">
        <v>1</v>
      </c>
      <c r="Q19" s="2">
        <v>1</v>
      </c>
      <c r="R19" s="2">
        <v>7</v>
      </c>
      <c r="S19" s="2"/>
      <c r="T19" s="35"/>
      <c r="U19" s="21"/>
      <c r="V19" s="12">
        <v>7</v>
      </c>
      <c r="W19" s="13">
        <v>1</v>
      </c>
      <c r="X19" s="14">
        <v>5</v>
      </c>
      <c r="Y19" s="15">
        <f>V19*W19*X19</f>
        <v>35</v>
      </c>
      <c r="Z19" s="30"/>
      <c r="AA19" s="21"/>
    </row>
    <row r="20" spans="2:27" ht="54.75" customHeight="1" x14ac:dyDescent="0.3">
      <c r="B20" s="9"/>
      <c r="C20" s="9"/>
      <c r="D20" s="49"/>
      <c r="E20" s="2" t="s">
        <v>108</v>
      </c>
      <c r="F20" s="2" t="s">
        <v>109</v>
      </c>
      <c r="G20" s="2" t="s">
        <v>110</v>
      </c>
      <c r="H20" s="3">
        <v>5</v>
      </c>
      <c r="I20" s="2" t="s">
        <v>111</v>
      </c>
      <c r="J20" s="4">
        <v>1</v>
      </c>
      <c r="K20" s="2" t="s">
        <v>112</v>
      </c>
      <c r="L20" s="5">
        <v>3</v>
      </c>
      <c r="M20" s="6">
        <f t="shared" si="1"/>
        <v>15</v>
      </c>
      <c r="N20" s="1" t="s">
        <v>113</v>
      </c>
      <c r="O20" s="2">
        <v>5</v>
      </c>
      <c r="P20" s="2">
        <v>1</v>
      </c>
      <c r="Q20" s="2">
        <v>3</v>
      </c>
      <c r="R20" s="2">
        <v>15</v>
      </c>
      <c r="S20" s="2"/>
      <c r="T20" s="35"/>
      <c r="U20" s="21"/>
      <c r="V20" s="21"/>
      <c r="W20" s="21"/>
      <c r="X20" s="21"/>
      <c r="Y20" s="21"/>
      <c r="Z20" s="21"/>
      <c r="AA20" s="21"/>
    </row>
    <row r="21" spans="2:27" ht="60.75" customHeight="1" x14ac:dyDescent="0.3">
      <c r="D21" s="52"/>
      <c r="E21" s="2" t="s">
        <v>114</v>
      </c>
      <c r="F21" s="2" t="s">
        <v>109</v>
      </c>
      <c r="G21" s="2" t="s">
        <v>57</v>
      </c>
      <c r="H21" s="3">
        <v>5</v>
      </c>
      <c r="I21" s="2" t="s">
        <v>115</v>
      </c>
      <c r="J21" s="4">
        <v>3</v>
      </c>
      <c r="K21" s="2" t="s">
        <v>116</v>
      </c>
      <c r="L21" s="5">
        <v>3</v>
      </c>
      <c r="M21" s="6">
        <f t="shared" si="1"/>
        <v>45</v>
      </c>
      <c r="N21" s="1" t="s">
        <v>50</v>
      </c>
      <c r="O21" s="2">
        <v>5</v>
      </c>
      <c r="P21" s="2">
        <v>3</v>
      </c>
      <c r="Q21" s="2">
        <v>3</v>
      </c>
      <c r="R21" s="2">
        <v>45</v>
      </c>
      <c r="S21" s="2" t="s">
        <v>99</v>
      </c>
      <c r="T21" s="35"/>
      <c r="U21" s="21"/>
      <c r="V21" s="21"/>
      <c r="W21" s="21"/>
      <c r="X21" s="21"/>
      <c r="Y21" s="21"/>
      <c r="Z21" s="21"/>
      <c r="AA21" s="21"/>
    </row>
    <row r="22" spans="2:27" ht="51" customHeight="1" x14ac:dyDescent="0.3">
      <c r="D22" s="47" t="s">
        <v>117</v>
      </c>
      <c r="E22" s="2" t="s">
        <v>118</v>
      </c>
      <c r="F22" s="2" t="s">
        <v>119</v>
      </c>
      <c r="G22" s="2" t="s">
        <v>57</v>
      </c>
      <c r="H22" s="3">
        <v>5</v>
      </c>
      <c r="I22" s="2" t="s">
        <v>67</v>
      </c>
      <c r="J22" s="4">
        <v>1</v>
      </c>
      <c r="K22" s="2" t="s">
        <v>104</v>
      </c>
      <c r="L22" s="5">
        <v>3</v>
      </c>
      <c r="M22" s="6">
        <f t="shared" si="1"/>
        <v>15</v>
      </c>
      <c r="N22" s="1" t="s">
        <v>50</v>
      </c>
      <c r="O22" s="2">
        <v>5</v>
      </c>
      <c r="P22" s="2">
        <v>1</v>
      </c>
      <c r="Q22" s="2">
        <v>3</v>
      </c>
      <c r="R22" s="2">
        <v>15</v>
      </c>
      <c r="S22" s="2" t="s">
        <v>99</v>
      </c>
      <c r="T22" s="35"/>
      <c r="U22" s="21"/>
      <c r="V22" s="21"/>
      <c r="W22" s="21"/>
      <c r="X22" s="21"/>
      <c r="Y22" s="21"/>
      <c r="Z22" s="21"/>
      <c r="AA22" s="21"/>
    </row>
    <row r="23" spans="2:27" s="16" customFormat="1" ht="52.5" customHeight="1" x14ac:dyDescent="0.3">
      <c r="D23" s="49"/>
      <c r="E23" s="2" t="s">
        <v>120</v>
      </c>
      <c r="F23" s="2" t="s">
        <v>121</v>
      </c>
      <c r="G23" s="2" t="s">
        <v>95</v>
      </c>
      <c r="H23" s="3">
        <v>5</v>
      </c>
      <c r="I23" s="2" t="s">
        <v>122</v>
      </c>
      <c r="J23" s="4">
        <v>1</v>
      </c>
      <c r="K23" s="2" t="s">
        <v>123</v>
      </c>
      <c r="L23" s="5">
        <v>3</v>
      </c>
      <c r="M23" s="6">
        <f t="shared" si="1"/>
        <v>15</v>
      </c>
      <c r="N23" s="1" t="s">
        <v>124</v>
      </c>
      <c r="O23" s="2">
        <v>5</v>
      </c>
      <c r="P23" s="2">
        <v>1</v>
      </c>
      <c r="Q23" s="2">
        <v>3</v>
      </c>
      <c r="R23" s="2">
        <v>15</v>
      </c>
      <c r="S23" s="2" t="s">
        <v>99</v>
      </c>
      <c r="T23" s="38"/>
      <c r="U23" s="31"/>
      <c r="V23" s="31"/>
      <c r="W23" s="31"/>
      <c r="X23" s="31"/>
      <c r="Y23" s="31"/>
      <c r="Z23" s="31"/>
      <c r="AA23" s="31"/>
    </row>
    <row r="24" spans="2:27" ht="54.75" customHeight="1" x14ac:dyDescent="0.3">
      <c r="D24" s="49"/>
      <c r="E24" s="2" t="s">
        <v>125</v>
      </c>
      <c r="F24" s="2" t="s">
        <v>121</v>
      </c>
      <c r="G24" s="2" t="s">
        <v>95</v>
      </c>
      <c r="H24" s="3">
        <v>5</v>
      </c>
      <c r="I24" s="2" t="s">
        <v>126</v>
      </c>
      <c r="J24" s="4">
        <v>1</v>
      </c>
      <c r="K24" s="2" t="s">
        <v>123</v>
      </c>
      <c r="L24" s="5">
        <v>3</v>
      </c>
      <c r="M24" s="6">
        <f t="shared" si="1"/>
        <v>15</v>
      </c>
      <c r="N24" s="1" t="s">
        <v>50</v>
      </c>
      <c r="O24" s="39">
        <v>5</v>
      </c>
      <c r="P24" s="39">
        <v>1</v>
      </c>
      <c r="Q24" s="39">
        <v>3</v>
      </c>
      <c r="R24" s="39">
        <v>15</v>
      </c>
      <c r="S24" s="39"/>
      <c r="T24" s="35"/>
      <c r="U24" s="21"/>
      <c r="V24" s="21"/>
      <c r="W24" s="21"/>
      <c r="X24" s="21"/>
      <c r="Y24" s="21"/>
      <c r="Z24" s="21"/>
      <c r="AA24" s="21"/>
    </row>
    <row r="25" spans="2:27" ht="22.2" x14ac:dyDescent="0.3">
      <c r="D25" s="17"/>
      <c r="E25" s="40"/>
      <c r="F25" s="40"/>
      <c r="G25" s="40"/>
      <c r="H25" s="40"/>
      <c r="I25" s="35"/>
      <c r="J25" s="40"/>
      <c r="K25" s="40"/>
      <c r="L25" s="40"/>
      <c r="M25" s="40"/>
      <c r="O25" s="40"/>
      <c r="P25" s="40"/>
      <c r="Q25" s="40"/>
      <c r="R25" s="40"/>
      <c r="S25" s="40"/>
      <c r="T25" s="40"/>
      <c r="U25" s="21"/>
      <c r="V25" s="21"/>
      <c r="W25" s="21"/>
      <c r="X25" s="21"/>
      <c r="Y25" s="21"/>
      <c r="Z25" s="21"/>
      <c r="AA25" s="21"/>
    </row>
    <row r="26" spans="2:27" ht="75" customHeight="1" x14ac:dyDescent="0.3">
      <c r="D26" s="18"/>
      <c r="F26" s="19"/>
      <c r="G26" s="20"/>
      <c r="H26" s="43"/>
      <c r="I26" s="20"/>
      <c r="K26" s="43"/>
    </row>
    <row r="27" spans="2:27" x14ac:dyDescent="0.3">
      <c r="E27" s="44"/>
      <c r="H27" s="43"/>
      <c r="J27" s="45"/>
      <c r="K27" s="43"/>
    </row>
    <row r="28" spans="2:27" x14ac:dyDescent="0.3">
      <c r="E28" s="46"/>
      <c r="H28" s="43"/>
      <c r="J28" s="45"/>
    </row>
    <row r="29" spans="2:27" x14ac:dyDescent="0.3">
      <c r="E29" s="46"/>
    </row>
    <row r="30" spans="2:27" x14ac:dyDescent="0.3">
      <c r="E30" s="44"/>
    </row>
    <row r="31" spans="2:27" x14ac:dyDescent="0.3">
      <c r="E31" s="46"/>
    </row>
    <row r="32" spans="2:27" x14ac:dyDescent="0.3">
      <c r="E32" s="46"/>
    </row>
    <row r="33" spans="5:5" x14ac:dyDescent="0.3">
      <c r="E33" s="46"/>
    </row>
    <row r="34" spans="5:5" x14ac:dyDescent="0.3">
      <c r="E34" s="44"/>
    </row>
    <row r="35" spans="5:5" x14ac:dyDescent="0.3">
      <c r="E35" s="46"/>
    </row>
    <row r="36" spans="5:5" x14ac:dyDescent="0.3">
      <c r="E36" s="46"/>
    </row>
    <row r="37" spans="5:5" x14ac:dyDescent="0.3">
      <c r="E37" s="44"/>
    </row>
    <row r="38" spans="5:5" x14ac:dyDescent="0.3">
      <c r="E38" s="46"/>
    </row>
    <row r="39" spans="5:5" x14ac:dyDescent="0.3">
      <c r="E39" s="46"/>
    </row>
    <row r="40" spans="5:5" x14ac:dyDescent="0.3">
      <c r="E40" s="44"/>
    </row>
    <row r="41" spans="5:5" x14ac:dyDescent="0.3">
      <c r="E41" s="46"/>
    </row>
    <row r="42" spans="5:5" x14ac:dyDescent="0.3">
      <c r="E42" s="46"/>
    </row>
    <row r="43" spans="5:5" x14ac:dyDescent="0.3">
      <c r="E43" s="46"/>
    </row>
  </sheetData>
  <mergeCells count="6">
    <mergeCell ref="D22:D24"/>
    <mergeCell ref="D1:F1"/>
    <mergeCell ref="D3:D6"/>
    <mergeCell ref="D7:D12"/>
    <mergeCell ref="D13:D15"/>
    <mergeCell ref="D16:D21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K&amp;S_PR_Litho</vt:lpstr>
      <vt:lpstr>'K&amp;S_PR_Litho'!Print_Area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2026-07-17T06:56:07Z</dcterms:modified>
  <cp:category/>
  <cp:contentStatus/>
</cp:coreProperties>
</file>