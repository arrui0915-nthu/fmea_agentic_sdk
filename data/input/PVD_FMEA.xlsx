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65077\Downloads\"/>
    </mc:Choice>
  </mc:AlternateContent>
  <xr:revisionPtr revIDLastSave="0" documentId="13_ncr:1_{DAF7B9E3-38C8-49E3-852B-53AAE9D98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ea_pv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4" l="1"/>
  <c r="O11" i="4"/>
  <c r="O10" i="4"/>
  <c r="O9" i="4"/>
  <c r="O8" i="4"/>
  <c r="O7" i="4"/>
  <c r="O6" i="4"/>
  <c r="O5" i="4"/>
  <c r="O4" i="4"/>
  <c r="O3" i="4"/>
  <c r="R12" i="4"/>
  <c r="Q12" i="4"/>
  <c r="P12" i="4"/>
  <c r="R11" i="4"/>
  <c r="Q11" i="4"/>
  <c r="P11" i="4"/>
  <c r="R10" i="4"/>
  <c r="Q10" i="4"/>
  <c r="P10" i="4"/>
  <c r="R9" i="4"/>
  <c r="Q9" i="4"/>
  <c r="P9" i="4"/>
  <c r="R8" i="4"/>
  <c r="Q8" i="4"/>
  <c r="P8" i="4"/>
  <c r="R7" i="4"/>
  <c r="Q7" i="4"/>
  <c r="P7" i="4"/>
  <c r="R6" i="4"/>
  <c r="Q6" i="4"/>
  <c r="P6" i="4"/>
  <c r="R5" i="4"/>
  <c r="Q5" i="4"/>
  <c r="P5" i="4"/>
  <c r="R4" i="4"/>
  <c r="Q4" i="4"/>
  <c r="P4" i="4"/>
  <c r="M12" i="4"/>
  <c r="M11" i="4"/>
  <c r="M10" i="4"/>
  <c r="M9" i="4"/>
  <c r="M8" i="4"/>
  <c r="M7" i="4"/>
  <c r="M6" i="4"/>
  <c r="M5" i="4"/>
  <c r="M4" i="4"/>
  <c r="M3" i="4"/>
  <c r="R3" i="4" s="1"/>
  <c r="Q3" i="4"/>
  <c r="P3" i="4"/>
</calcChain>
</file>

<file path=xl/sharedStrings.xml><?xml version="1.0" encoding="utf-8"?>
<sst xmlns="http://schemas.openxmlformats.org/spreadsheetml/2006/main" count="79" uniqueCount="70">
  <si>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</si>
  <si>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</si>
  <si>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</si>
  <si>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</si>
  <si>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</si>
  <si>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</si>
  <si>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</si>
  <si>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</si>
  <si>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</si>
  <si>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</si>
  <si>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</si>
  <si>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</si>
  <si>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>1. 晶圓進料</t>
    <phoneticPr fontId="1" type="noConversion"/>
  </si>
  <si>
    <t>晶片表面的particle數量合乎規格</t>
    <phoneticPr fontId="1" type="noConversion"/>
  </si>
  <si>
    <t>被particle遮蔽區域形成未鍍膜</t>
    <phoneticPr fontId="1" type="noConversion"/>
  </si>
  <si>
    <t>線路斷路</t>
    <phoneticPr fontId="1" type="noConversion"/>
  </si>
  <si>
    <t>來料particle數值太高</t>
    <phoneticPr fontId="1" type="noConversion"/>
  </si>
  <si>
    <t>camtek、CS-10、OM</t>
    <phoneticPr fontId="1" type="noConversion"/>
  </si>
  <si>
    <t>請QC提供目前批次Shuttle Particle level</t>
    <phoneticPr fontId="1" type="noConversion"/>
  </si>
  <si>
    <t>晶片翹曲度過大(&gt;2mm)</t>
    <phoneticPr fontId="1" type="noConversion"/>
  </si>
  <si>
    <t>設備傳送異常</t>
    <phoneticPr fontId="1" type="noConversion"/>
  </si>
  <si>
    <t>發生破片</t>
    <phoneticPr fontId="1" type="noConversion"/>
  </si>
  <si>
    <t>來料warpage大於2mm</t>
    <phoneticPr fontId="1" type="noConversion"/>
  </si>
  <si>
    <t>Fogal</t>
    <phoneticPr fontId="1" type="noConversion"/>
  </si>
  <si>
    <t>請QC提供目前批次warp數值</t>
    <phoneticPr fontId="1" type="noConversion"/>
  </si>
  <si>
    <t>.</t>
    <phoneticPr fontId="1" type="noConversion"/>
  </si>
  <si>
    <t>Wafer背面無汙染</t>
    <phoneticPr fontId="1" type="noConversion"/>
  </si>
  <si>
    <t>Wafer背面有光阻、膠材汙染</t>
    <phoneticPr fontId="1" type="noConversion"/>
  </si>
  <si>
    <t>目視檢驗</t>
    <phoneticPr fontId="1" type="noConversion"/>
  </si>
  <si>
    <t>前站完成後或本站進貨時進行檢驗</t>
    <phoneticPr fontId="1" type="noConversion"/>
  </si>
  <si>
    <t>機台環境Particle監測</t>
    <phoneticPr fontId="1" type="noConversion"/>
  </si>
  <si>
    <t>Particle high</t>
    <phoneticPr fontId="1" type="noConversion"/>
  </si>
  <si>
    <t>Yield loss</t>
    <phoneticPr fontId="1" type="noConversion"/>
  </si>
  <si>
    <t>廠務系統變異/HEPA失效</t>
    <phoneticPr fontId="1" type="noConversion"/>
  </si>
  <si>
    <t>Particle counter</t>
    <phoneticPr fontId="1" type="noConversion"/>
  </si>
  <si>
    <t>定期進行無塵室環境/Loadport環境量測</t>
    <phoneticPr fontId="1" type="noConversion"/>
  </si>
  <si>
    <t>2. PVD製程</t>
  </si>
  <si>
    <t>鍍膜厚度符合需求</t>
    <phoneticPr fontId="1" type="noConversion"/>
  </si>
  <si>
    <t>厚度不符合需求</t>
    <phoneticPr fontId="1" type="noConversion"/>
  </si>
  <si>
    <t>後續蝕刻製程失效、電路阻抗不符合設計值</t>
    <phoneticPr fontId="1" type="noConversion"/>
  </si>
  <si>
    <t>1.電漿系統功率輸出失效
2.靶材壽命用盡
3.選擇錯誤的製程recipe</t>
    <phoneticPr fontId="1" type="noConversion"/>
  </si>
  <si>
    <t>1.設備軟體設定電漿功率誤差允許值
2.設備軟體設定警戒值
3.操作者目視確認</t>
    <phoneticPr fontId="1" type="noConversion"/>
  </si>
  <si>
    <t>1. 請設備部門定期進行保養
2. 請設備部門定期檢查靶材用量
3. 請操作者確實確認</t>
    <phoneticPr fontId="1" type="noConversion"/>
  </si>
  <si>
    <t>鍍膜電阻率符合需求</t>
    <phoneticPr fontId="1" type="noConversion"/>
  </si>
  <si>
    <t>鍍膜電阻率不符合需求</t>
    <phoneticPr fontId="1" type="noConversion"/>
  </si>
  <si>
    <t>1. 晶片表面材質outgas
2. 塗佈製程未能完全固化
3. Degas功率未達設定值
4. 機台真空度不佳</t>
    <phoneticPr fontId="1" type="noConversion"/>
  </si>
  <si>
    <t>1.設備軟體設定入料真空允許值
2.設備軟體設定入料真空允許值
3.設備軟體設定加熱功率誤差允許值
4.設備軟體設定各腔體IDLE真空允許值</t>
    <phoneticPr fontId="1" type="noConversion"/>
  </si>
  <si>
    <t>1.新材料進行製程前需要先進行製程相容性評估
2.固化製程需定期執行製程驗證測機
3.請設備部門定期進行加熱器保養
4.請設備部門定期進行真空pump保養</t>
    <phoneticPr fontId="1" type="noConversion"/>
  </si>
  <si>
    <t>鍍膜均勻性符合規格(U%&lt;6%)</t>
    <phoneticPr fontId="1" type="noConversion"/>
  </si>
  <si>
    <t>鍍膜均勻性不符合規格</t>
    <phoneticPr fontId="1" type="noConversion"/>
  </si>
  <si>
    <t>後續蝕刻製程失效、良率損失</t>
    <phoneticPr fontId="1" type="noConversion"/>
  </si>
  <si>
    <t>1.晶圓翹曲度過大
2.靶材磁場系統故障</t>
    <phoneticPr fontId="1" type="noConversion"/>
  </si>
  <si>
    <t>1.Fogal量測
2.設備軟體偵測故障訊號</t>
    <phoneticPr fontId="1" type="noConversion"/>
  </si>
  <si>
    <t>1.請QC提供目前批次warp數值
2.請設備部門定期進行系統檢查</t>
    <phoneticPr fontId="1" type="noConversion"/>
  </si>
  <si>
    <t>鍍膜附著性達到5B</t>
    <phoneticPr fontId="1" type="noConversion"/>
  </si>
  <si>
    <t>鍍膜附著性不佳/表面起泡</t>
    <phoneticPr fontId="1" type="noConversion"/>
  </si>
  <si>
    <t>晶圓報廢</t>
    <phoneticPr fontId="1" type="noConversion"/>
  </si>
  <si>
    <t>1. 晶片表面材質outgas
2. 塗佈製程未能完全固化
3. Degas功率未達設定值
4. 機台真空度不佳
5. ICP參數與表面材料未能匹配
6. ICP電漿功率未達設定值</t>
    <phoneticPr fontId="1" type="noConversion"/>
  </si>
  <si>
    <t>1.設備軟體設定入料真空允許值
2.設備軟體設定入料真空允許值
3.設備軟體設定加熱功率誤差允許值
4.設備軟體設定各腔體IDLE真空允許值
5.針對新材料進行參數優化
6.設備軟體設定電漿功率誤差允許值</t>
    <phoneticPr fontId="1" type="noConversion"/>
  </si>
  <si>
    <t>1.新材料進行製程前需要先進行製程相容性評估
2.固化製程需定期執行製程驗證測機
3.請設備部門定期進行加熱器保養
4.請設備部門定期進行真空pump保養
5.請QC提供新材料完整資料並進行完整測試
6.請設備部門定期進行電漿系統保養</t>
    <phoneticPr fontId="1" type="noConversion"/>
  </si>
  <si>
    <t>製程後particle增加量符合規範</t>
    <phoneticPr fontId="1" type="noConversion"/>
  </si>
  <si>
    <t>1.機台擋板使用需進行清洗
2.電漿系統發生異常放電
3.來料汙染</t>
    <phoneticPr fontId="1" type="noConversion"/>
  </si>
  <si>
    <t>1.設備軟體設定擋板lifetime上限
2.電源供應系統設定異常放電消除機制
3.camtek、CS-10、OM</t>
    <phoneticPr fontId="1" type="noConversion"/>
  </si>
  <si>
    <t>1.請設備部門依據lifetime更換機台擋板
2.請設備部門定期進行電漿系統保養
3.請QC提供目前批次Shuttle Particle level</t>
    <phoneticPr fontId="1" type="noConversion"/>
  </si>
  <si>
    <t>晶圓完整無損傷</t>
    <phoneticPr fontId="1" type="noConversion"/>
  </si>
  <si>
    <t>晶圓損傷、缺角、破裂</t>
    <phoneticPr fontId="1" type="noConversion"/>
  </si>
  <si>
    <t>1.玻璃晶圓與底座發生沾黏
2. 來料warpage大於2mm</t>
    <phoneticPr fontId="1" type="noConversion"/>
  </si>
  <si>
    <t>1.調整底座升降參數與dechuck除靜電參數降低沾黏發生率
2.Fogal量測</t>
    <phoneticPr fontId="1" type="noConversion"/>
  </si>
  <si>
    <t>1.請原廠檢討底座設計並加上表面粗糙度設計
2.請QC提供目前批次warp數值</t>
    <phoneticPr fontId="1" type="noConversion"/>
  </si>
  <si>
    <t>電路阻抗不符合設計值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</si>
</sst>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20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rgb="FF0000CC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b/>
      <sz val="16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left" vertical="center" indent="2" readingOrder="1"/>
    </xf>
    <xf numFmtId="0" fontId="4" fillId="0" borderId="0" xfId="0" applyFont="1" applyAlignment="1">
      <alignment horizontal="left" vertical="center" indent="5" readingOrder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2FC6-4394-4948-8E8E-60AB0BC22944}">
  <dimension ref="B1:T25"/>
  <sheetViews>
    <sheetView tabSelected="1" zoomScale="40" zoomScaleNormal="40" workbookViewId="0">
      <selection activeCell="D2" sqref="D2"/>
    </sheetView>
  </sheetViews>
  <sheetFormatPr defaultColWidth="8.88671875" defaultRowHeight="37.5" customHeight="1" x14ac:dyDescent="0.3"/>
  <cols>
    <col min="1" max="1" width="8.88671875" style="2"/>
    <col min="2" max="2" width="7.44140625" style="2" customWidth="1"/>
    <col min="3" max="3" width="7.6640625" style="2" customWidth="1"/>
    <col min="4" max="4" width="28.77734375" style="2" customWidth="1"/>
    <col min="5" max="5" width="42" style="2" customWidth="1"/>
    <col min="6" max="6" width="39.44140625" style="2" customWidth="1"/>
    <col min="7" max="7" width="55.88671875" style="2" customWidth="1"/>
    <col min="8" max="8" width="11.44140625" style="2" customWidth="1"/>
    <col min="9" max="9" width="41.109375" style="2" customWidth="1"/>
    <col min="10" max="10" width="10.6640625" style="2" customWidth="1"/>
    <col min="11" max="11" width="48.88671875" style="2" customWidth="1"/>
    <col min="12" max="12" width="12.109375" style="2" customWidth="1"/>
    <col min="13" max="13" width="13.44140625" style="2" customWidth="1"/>
    <col min="14" max="14" width="61.44140625" style="2" customWidth="1"/>
    <col min="15" max="15" width="10.21875" style="2" customWidth="1"/>
    <col min="16" max="16" width="11.21875" style="2" customWidth="1"/>
    <col min="17" max="17" width="10.6640625" style="2" customWidth="1"/>
    <col min="18" max="18" width="14.109375" style="2" customWidth="1"/>
    <col min="19" max="19" width="19.21875" style="2" customWidth="1"/>
    <col min="20" max="20" width="50.88671875" style="2" customWidth="1"/>
    <col min="21" max="21" width="8.88671875" style="2"/>
    <col min="22" max="23" width="11.44140625" style="2" bestFit="1" customWidth="1"/>
    <col min="24" max="24" width="11.44140625" style="2" customWidth="1"/>
    <col min="25" max="25" width="15.109375" style="2" customWidth="1"/>
    <col min="26" max="26" width="12.88671875" style="2" bestFit="1" customWidth="1"/>
    <col min="27" max="16384" width="8.88671875" style="2"/>
  </cols>
  <sheetData>
    <row r="1" spans="2:20" ht="37.5" customHeight="1" x14ac:dyDescent="0.3">
      <c r="D1" s="20"/>
      <c r="E1" s="20"/>
      <c r="F1" s="20"/>
      <c r="G1" s="3"/>
      <c r="H1" s="3"/>
      <c r="I1" s="3"/>
      <c r="J1" s="4"/>
      <c r="K1" s="4"/>
      <c r="L1" s="4"/>
      <c r="M1" s="3"/>
      <c r="N1" s="3"/>
      <c r="O1" s="3"/>
      <c r="P1" s="3"/>
      <c r="Q1" s="3"/>
      <c r="R1" s="3"/>
      <c r="S1" s="3"/>
    </row>
    <row r="2" spans="2:20" ht="60.75" customHeight="1" x14ac:dyDescent="0.3">
      <c r="B2" s="1"/>
      <c r="C2" s="1"/>
      <c r="D2" s="11" t="s">
        <v>0</v>
      </c>
      <c r="E2" s="11" t="s">
        <v>1</v>
      </c>
      <c r="F2" s="11" t="s">
        <v>2</v>
      </c>
      <c r="G2" s="11" t="s">
        <v>3</v>
      </c>
      <c r="H2" s="12" t="s">
        <v>4</v>
      </c>
      <c r="I2" s="11" t="s">
        <v>5</v>
      </c>
      <c r="J2" s="13" t="s">
        <v>6</v>
      </c>
      <c r="K2" s="11" t="s">
        <v>7</v>
      </c>
      <c r="L2" s="14" t="s">
        <v>8</v>
      </c>
      <c r="M2" s="15" t="s">
        <v>9</v>
      </c>
      <c r="N2" s="11" t="s">
        <v>10</v>
      </c>
      <c r="O2" s="11" t="s">
        <v>4</v>
      </c>
      <c r="P2" s="11" t="s">
        <v>6</v>
      </c>
      <c r="Q2" s="11" t="s">
        <v>8</v>
      </c>
      <c r="R2" s="11" t="s">
        <v>9</v>
      </c>
      <c r="S2" s="11" t="s">
        <v>11</v>
      </c>
    </row>
    <row r="3" spans="2:20" ht="37.5" customHeight="1" x14ac:dyDescent="0.3">
      <c r="B3" s="1"/>
      <c r="C3" s="1"/>
      <c r="D3" s="21" t="s">
        <v>12</v>
      </c>
      <c r="E3" s="11" t="s">
        <v>13</v>
      </c>
      <c r="F3" s="11" t="s">
        <v>14</v>
      </c>
      <c r="G3" s="11" t="s">
        <v>15</v>
      </c>
      <c r="H3" s="12">
        <v>8</v>
      </c>
      <c r="I3" s="11" t="s">
        <v>16</v>
      </c>
      <c r="J3" s="13">
        <v>4</v>
      </c>
      <c r="K3" s="11" t="s">
        <v>17</v>
      </c>
      <c r="L3" s="14">
        <v>1</v>
      </c>
      <c r="M3" s="15">
        <f>H3*J3*L3</f>
        <v>32</v>
      </c>
      <c r="N3" s="11" t="s">
        <v>18</v>
      </c>
      <c r="O3" s="11">
        <f>H3</f>
        <v>8</v>
      </c>
      <c r="P3" s="11">
        <f>J3</f>
        <v>4</v>
      </c>
      <c r="Q3" s="11">
        <f>L3</f>
        <v>1</v>
      </c>
      <c r="R3" s="11">
        <f>M3</f>
        <v>32</v>
      </c>
      <c r="S3" s="11"/>
      <c r="T3" s="6"/>
    </row>
    <row r="4" spans="2:20" ht="37.5" customHeight="1" x14ac:dyDescent="0.3">
      <c r="B4" s="1"/>
      <c r="C4" s="1"/>
      <c r="D4" s="21"/>
      <c r="E4" s="16" t="s">
        <v>19</v>
      </c>
      <c r="F4" s="11" t="s">
        <v>20</v>
      </c>
      <c r="G4" s="11" t="s">
        <v>21</v>
      </c>
      <c r="H4" s="12">
        <v>10</v>
      </c>
      <c r="I4" s="11" t="s">
        <v>22</v>
      </c>
      <c r="J4" s="13">
        <v>4</v>
      </c>
      <c r="K4" s="11" t="s">
        <v>23</v>
      </c>
      <c r="L4" s="14">
        <v>1</v>
      </c>
      <c r="M4" s="15">
        <f t="shared" ref="M4:M12" si="0">H4*J4*L4</f>
        <v>40</v>
      </c>
      <c r="N4" s="11" t="s">
        <v>24</v>
      </c>
      <c r="O4" s="11">
        <f t="shared" ref="O4:O12" si="1">H4</f>
        <v>10</v>
      </c>
      <c r="P4" s="11">
        <f t="shared" ref="P4:P12" si="2">J4</f>
        <v>4</v>
      </c>
      <c r="Q4" s="11">
        <f t="shared" ref="Q4:Q12" si="3">L4</f>
        <v>1</v>
      </c>
      <c r="R4" s="11">
        <f t="shared" ref="R4:R12" si="4">M4</f>
        <v>40</v>
      </c>
      <c r="S4" s="11"/>
      <c r="T4" s="2" t="s">
        <v>25</v>
      </c>
    </row>
    <row r="5" spans="2:20" s="8" customFormat="1" ht="37.5" customHeight="1" x14ac:dyDescent="0.3">
      <c r="B5" s="7"/>
      <c r="C5" s="7"/>
      <c r="D5" s="21"/>
      <c r="E5" s="11" t="s">
        <v>26</v>
      </c>
      <c r="F5" s="11" t="s">
        <v>20</v>
      </c>
      <c r="G5" s="11" t="s">
        <v>21</v>
      </c>
      <c r="H5" s="12">
        <v>10</v>
      </c>
      <c r="I5" s="11" t="s">
        <v>27</v>
      </c>
      <c r="J5" s="13">
        <v>2</v>
      </c>
      <c r="K5" s="11" t="s">
        <v>28</v>
      </c>
      <c r="L5" s="14">
        <v>6</v>
      </c>
      <c r="M5" s="15">
        <f t="shared" si="0"/>
        <v>120</v>
      </c>
      <c r="N5" s="11" t="s">
        <v>29</v>
      </c>
      <c r="O5" s="11">
        <f t="shared" si="1"/>
        <v>10</v>
      </c>
      <c r="P5" s="11">
        <f t="shared" si="2"/>
        <v>2</v>
      </c>
      <c r="Q5" s="11">
        <f t="shared" si="3"/>
        <v>6</v>
      </c>
      <c r="R5" s="11">
        <f t="shared" si="4"/>
        <v>120</v>
      </c>
      <c r="S5" s="11"/>
      <c r="T5" s="2"/>
    </row>
    <row r="6" spans="2:20" s="8" customFormat="1" ht="37.5" customHeight="1" x14ac:dyDescent="0.3">
      <c r="B6" s="7"/>
      <c r="C6" s="7"/>
      <c r="D6" s="21"/>
      <c r="E6" s="11" t="s">
        <v>30</v>
      </c>
      <c r="F6" s="11" t="s">
        <v>31</v>
      </c>
      <c r="G6" s="11" t="s">
        <v>32</v>
      </c>
      <c r="H6" s="12">
        <v>8</v>
      </c>
      <c r="I6" s="11" t="s">
        <v>33</v>
      </c>
      <c r="J6" s="13">
        <v>2</v>
      </c>
      <c r="K6" s="11" t="s">
        <v>34</v>
      </c>
      <c r="L6" s="14">
        <v>3</v>
      </c>
      <c r="M6" s="15">
        <f t="shared" si="0"/>
        <v>48</v>
      </c>
      <c r="N6" s="11" t="s">
        <v>35</v>
      </c>
      <c r="O6" s="11">
        <f t="shared" si="1"/>
        <v>8</v>
      </c>
      <c r="P6" s="11">
        <f t="shared" si="2"/>
        <v>2</v>
      </c>
      <c r="Q6" s="11">
        <f t="shared" si="3"/>
        <v>3</v>
      </c>
      <c r="R6" s="11">
        <f t="shared" si="4"/>
        <v>48</v>
      </c>
      <c r="S6" s="11"/>
      <c r="T6" s="2"/>
    </row>
    <row r="7" spans="2:20" ht="85.5" customHeight="1" x14ac:dyDescent="0.3">
      <c r="B7" s="1"/>
      <c r="C7" s="1"/>
      <c r="D7" s="17" t="s">
        <v>36</v>
      </c>
      <c r="E7" s="11" t="s">
        <v>37</v>
      </c>
      <c r="F7" s="11" t="s">
        <v>38</v>
      </c>
      <c r="G7" s="11" t="s">
        <v>39</v>
      </c>
      <c r="H7" s="12">
        <v>7</v>
      </c>
      <c r="I7" s="5" t="s">
        <v>40</v>
      </c>
      <c r="J7" s="13">
        <v>3</v>
      </c>
      <c r="K7" s="5" t="s">
        <v>41</v>
      </c>
      <c r="L7" s="14">
        <v>3</v>
      </c>
      <c r="M7" s="15">
        <f t="shared" si="0"/>
        <v>63</v>
      </c>
      <c r="N7" s="5" t="s">
        <v>42</v>
      </c>
      <c r="O7" s="11">
        <f t="shared" si="1"/>
        <v>7</v>
      </c>
      <c r="P7" s="11">
        <f t="shared" si="2"/>
        <v>3</v>
      </c>
      <c r="Q7" s="11">
        <f t="shared" si="3"/>
        <v>3</v>
      </c>
      <c r="R7" s="11">
        <f t="shared" si="4"/>
        <v>63</v>
      </c>
      <c r="S7" s="11"/>
    </row>
    <row r="8" spans="2:20" s="8" customFormat="1" ht="81.75" customHeight="1" x14ac:dyDescent="0.3">
      <c r="B8" s="7"/>
      <c r="C8" s="7"/>
      <c r="D8" s="18"/>
      <c r="E8" s="11" t="s">
        <v>43</v>
      </c>
      <c r="F8" s="11" t="s">
        <v>44</v>
      </c>
      <c r="G8" s="11" t="s">
        <v>69</v>
      </c>
      <c r="H8" s="12">
        <v>6</v>
      </c>
      <c r="I8" s="5" t="s">
        <v>45</v>
      </c>
      <c r="J8" s="13">
        <v>3</v>
      </c>
      <c r="K8" s="5" t="s">
        <v>46</v>
      </c>
      <c r="L8" s="14">
        <v>3</v>
      </c>
      <c r="M8" s="15">
        <f t="shared" si="0"/>
        <v>54</v>
      </c>
      <c r="N8" s="5" t="s">
        <v>47</v>
      </c>
      <c r="O8" s="11">
        <f t="shared" si="1"/>
        <v>6</v>
      </c>
      <c r="P8" s="11">
        <f t="shared" si="2"/>
        <v>3</v>
      </c>
      <c r="Q8" s="11">
        <f t="shared" si="3"/>
        <v>3</v>
      </c>
      <c r="R8" s="11">
        <f t="shared" si="4"/>
        <v>54</v>
      </c>
      <c r="S8" s="11"/>
    </row>
    <row r="9" spans="2:20" ht="51" customHeight="1" x14ac:dyDescent="0.3">
      <c r="B9" s="1"/>
      <c r="C9" s="1"/>
      <c r="D9" s="18"/>
      <c r="E9" s="11" t="s">
        <v>48</v>
      </c>
      <c r="F9" s="11" t="s">
        <v>49</v>
      </c>
      <c r="G9" s="11" t="s">
        <v>50</v>
      </c>
      <c r="H9" s="12">
        <v>6</v>
      </c>
      <c r="I9" s="5" t="s">
        <v>51</v>
      </c>
      <c r="J9" s="13">
        <v>3</v>
      </c>
      <c r="K9" s="5" t="s">
        <v>52</v>
      </c>
      <c r="L9" s="14">
        <v>3</v>
      </c>
      <c r="M9" s="15">
        <f t="shared" si="0"/>
        <v>54</v>
      </c>
      <c r="N9" s="5" t="s">
        <v>53</v>
      </c>
      <c r="O9" s="11">
        <f t="shared" si="1"/>
        <v>6</v>
      </c>
      <c r="P9" s="11">
        <f t="shared" si="2"/>
        <v>3</v>
      </c>
      <c r="Q9" s="11">
        <f t="shared" si="3"/>
        <v>3</v>
      </c>
      <c r="R9" s="11">
        <f t="shared" si="4"/>
        <v>54</v>
      </c>
      <c r="S9" s="11"/>
    </row>
    <row r="10" spans="2:20" ht="131.25" customHeight="1" x14ac:dyDescent="0.3">
      <c r="B10" s="1"/>
      <c r="C10" s="1"/>
      <c r="D10" s="18"/>
      <c r="E10" s="11" t="s">
        <v>54</v>
      </c>
      <c r="F10" s="11" t="s">
        <v>55</v>
      </c>
      <c r="G10" s="11" t="s">
        <v>56</v>
      </c>
      <c r="H10" s="12">
        <v>10</v>
      </c>
      <c r="I10" s="5" t="s">
        <v>57</v>
      </c>
      <c r="J10" s="13">
        <v>4</v>
      </c>
      <c r="K10" s="5" t="s">
        <v>58</v>
      </c>
      <c r="L10" s="14">
        <v>3</v>
      </c>
      <c r="M10" s="15">
        <f t="shared" si="0"/>
        <v>120</v>
      </c>
      <c r="N10" s="5" t="s">
        <v>59</v>
      </c>
      <c r="O10" s="11">
        <f t="shared" si="1"/>
        <v>10</v>
      </c>
      <c r="P10" s="11">
        <f t="shared" si="2"/>
        <v>4</v>
      </c>
      <c r="Q10" s="11">
        <f t="shared" si="3"/>
        <v>3</v>
      </c>
      <c r="R10" s="11">
        <f t="shared" si="4"/>
        <v>120</v>
      </c>
      <c r="S10" s="11"/>
    </row>
    <row r="11" spans="2:20" ht="75.75" customHeight="1" x14ac:dyDescent="0.3">
      <c r="B11" s="1"/>
      <c r="C11" s="1"/>
      <c r="D11" s="18"/>
      <c r="E11" s="11" t="s">
        <v>60</v>
      </c>
      <c r="F11" s="11" t="s">
        <v>31</v>
      </c>
      <c r="G11" s="11" t="s">
        <v>32</v>
      </c>
      <c r="H11" s="12">
        <v>8</v>
      </c>
      <c r="I11" s="5" t="s">
        <v>61</v>
      </c>
      <c r="J11" s="13">
        <v>4</v>
      </c>
      <c r="K11" s="5" t="s">
        <v>62</v>
      </c>
      <c r="L11" s="14">
        <v>3</v>
      </c>
      <c r="M11" s="15">
        <f t="shared" si="0"/>
        <v>96</v>
      </c>
      <c r="N11" s="5" t="s">
        <v>63</v>
      </c>
      <c r="O11" s="11">
        <f t="shared" si="1"/>
        <v>8</v>
      </c>
      <c r="P11" s="11">
        <f t="shared" si="2"/>
        <v>4</v>
      </c>
      <c r="Q11" s="11">
        <f t="shared" si="3"/>
        <v>3</v>
      </c>
      <c r="R11" s="11">
        <f t="shared" si="4"/>
        <v>96</v>
      </c>
      <c r="S11" s="11"/>
    </row>
    <row r="12" spans="2:20" ht="79.5" customHeight="1" x14ac:dyDescent="0.3">
      <c r="B12" s="1"/>
      <c r="C12" s="1"/>
      <c r="D12" s="19"/>
      <c r="E12" s="11" t="s">
        <v>64</v>
      </c>
      <c r="F12" s="11" t="s">
        <v>65</v>
      </c>
      <c r="G12" s="11" t="s">
        <v>56</v>
      </c>
      <c r="H12" s="12">
        <v>10</v>
      </c>
      <c r="I12" s="5" t="s">
        <v>66</v>
      </c>
      <c r="J12" s="13">
        <v>2</v>
      </c>
      <c r="K12" s="5" t="s">
        <v>67</v>
      </c>
      <c r="L12" s="14">
        <v>10</v>
      </c>
      <c r="M12" s="15">
        <f t="shared" si="0"/>
        <v>200</v>
      </c>
      <c r="N12" s="5" t="s">
        <v>68</v>
      </c>
      <c r="O12" s="11">
        <f t="shared" si="1"/>
        <v>10</v>
      </c>
      <c r="P12" s="11">
        <f t="shared" si="2"/>
        <v>2</v>
      </c>
      <c r="Q12" s="11">
        <f t="shared" si="3"/>
        <v>10</v>
      </c>
      <c r="R12" s="11">
        <f t="shared" si="4"/>
        <v>200</v>
      </c>
      <c r="S12" s="11"/>
    </row>
    <row r="13" spans="2:20" ht="37.5" customHeight="1" x14ac:dyDescent="0.3">
      <c r="E13" s="10"/>
    </row>
    <row r="14" spans="2:20" ht="37.5" customHeight="1" x14ac:dyDescent="0.3">
      <c r="E14" s="10"/>
    </row>
    <row r="15" spans="2:20" ht="37.5" customHeight="1" x14ac:dyDescent="0.3">
      <c r="E15" s="10"/>
    </row>
    <row r="16" spans="2:20" ht="37.5" customHeight="1" x14ac:dyDescent="0.3">
      <c r="E16" s="9"/>
    </row>
    <row r="17" spans="5:5" ht="37.5" customHeight="1" x14ac:dyDescent="0.3">
      <c r="E17" s="10"/>
    </row>
    <row r="18" spans="5:5" ht="37.5" customHeight="1" x14ac:dyDescent="0.3">
      <c r="E18" s="10"/>
    </row>
    <row r="19" spans="5:5" ht="37.5" customHeight="1" x14ac:dyDescent="0.3">
      <c r="E19" s="9"/>
    </row>
    <row r="20" spans="5:5" ht="37.5" customHeight="1" x14ac:dyDescent="0.3">
      <c r="E20" s="10"/>
    </row>
    <row r="21" spans="5:5" ht="37.5" customHeight="1" x14ac:dyDescent="0.3">
      <c r="E21" s="10"/>
    </row>
    <row r="22" spans="5:5" ht="37.5" customHeight="1" x14ac:dyDescent="0.3">
      <c r="E22" s="9"/>
    </row>
    <row r="23" spans="5:5" ht="37.5" customHeight="1" x14ac:dyDescent="0.3">
      <c r="E23" s="10"/>
    </row>
    <row r="24" spans="5:5" ht="37.5" customHeight="1" x14ac:dyDescent="0.3">
      <c r="E24" s="10"/>
    </row>
    <row r="25" spans="5:5" ht="37.5" customHeight="1" x14ac:dyDescent="0.3">
      <c r="E25" s="10"/>
    </row>
  </sheetData>
  <mergeCells count="3">
    <mergeCell ref="D7:D12"/>
    <mergeCell ref="D1:F1"/>
    <mergeCell ref="D3:D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fmea_pvd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2026-07-01T05:12:07Z</dcterms:modified>
  <cp:category/>
  <cp:contentStatus/>
</cp:coreProperties>
</file>